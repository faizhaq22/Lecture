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0490" windowHeight="7905"/>
  </bookViews>
  <sheets>
    <sheet name="Sheet1" sheetId="1" r:id="rId1"/>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6" i="1" l="1"/>
  <c r="H12" i="1" l="1"/>
  <c r="I12" i="1" s="1"/>
  <c r="H13" i="1"/>
  <c r="I13" i="1" s="1"/>
  <c r="H14" i="1"/>
  <c r="I14" i="1" s="1"/>
  <c r="H15" i="1"/>
  <c r="I15" i="1" s="1"/>
  <c r="H16" i="1"/>
  <c r="I16" i="1" s="1"/>
  <c r="H17" i="1"/>
  <c r="I17" i="1" s="1"/>
  <c r="H18" i="1"/>
  <c r="I18" i="1" s="1"/>
  <c r="H19" i="1"/>
  <c r="I19" i="1" s="1"/>
  <c r="H20" i="1"/>
  <c r="I20" i="1" s="1"/>
  <c r="H11" i="1"/>
  <c r="I11" i="1" s="1"/>
  <c r="C39" i="1" l="1"/>
  <c r="C40" i="1" l="1"/>
  <c r="C37" i="1"/>
  <c r="E6" i="1"/>
  <c r="F6" i="1" s="1"/>
  <c r="E7" i="1"/>
  <c r="F7" i="1" s="1"/>
  <c r="E8" i="1"/>
  <c r="F8" i="1" s="1"/>
  <c r="E9" i="1"/>
  <c r="F9" i="1" s="1"/>
  <c r="E10" i="1"/>
  <c r="F10" i="1" s="1"/>
  <c r="E11" i="1"/>
  <c r="F11" i="1" s="1"/>
  <c r="G11" i="1" s="1"/>
  <c r="E12" i="1"/>
  <c r="F12" i="1" s="1"/>
  <c r="G12" i="1" s="1"/>
  <c r="E13" i="1"/>
  <c r="F13" i="1" s="1"/>
  <c r="G13" i="1" s="1"/>
  <c r="E14" i="1"/>
  <c r="F14" i="1" s="1"/>
  <c r="G14" i="1" s="1"/>
  <c r="E15" i="1"/>
  <c r="F15" i="1" s="1"/>
  <c r="G15" i="1" s="1"/>
  <c r="E16" i="1"/>
  <c r="F16" i="1" s="1"/>
  <c r="G16" i="1" s="1"/>
  <c r="E17" i="1"/>
  <c r="F17" i="1" s="1"/>
  <c r="G17" i="1" s="1"/>
  <c r="E18" i="1"/>
  <c r="F18" i="1" s="1"/>
  <c r="G18" i="1" s="1"/>
  <c r="E19" i="1"/>
  <c r="F19" i="1" s="1"/>
  <c r="G19" i="1" s="1"/>
  <c r="E20" i="1"/>
  <c r="F20" i="1" s="1"/>
  <c r="G20" i="1" s="1"/>
  <c r="E21" i="1"/>
  <c r="F21" i="1" s="1"/>
  <c r="E22" i="1"/>
  <c r="F22" i="1" s="1"/>
  <c r="E23" i="1"/>
  <c r="F23" i="1" s="1"/>
  <c r="E24" i="1"/>
  <c r="F24" i="1" s="1"/>
  <c r="E25" i="1"/>
  <c r="F25" i="1" s="1"/>
  <c r="E26" i="1"/>
  <c r="F26" i="1" s="1"/>
  <c r="E27" i="1"/>
  <c r="F27" i="1" s="1"/>
  <c r="E28" i="1"/>
  <c r="F28" i="1" s="1"/>
  <c r="E29" i="1"/>
  <c r="F29" i="1" s="1"/>
  <c r="E30" i="1"/>
  <c r="F30" i="1" s="1"/>
  <c r="E31" i="1"/>
  <c r="F31" i="1" s="1"/>
  <c r="E32" i="1"/>
  <c r="F32" i="1" s="1"/>
  <c r="E5" i="1"/>
  <c r="F5" i="1" s="1"/>
</calcChain>
</file>

<file path=xl/sharedStrings.xml><?xml version="1.0" encoding="utf-8"?>
<sst xmlns="http://schemas.openxmlformats.org/spreadsheetml/2006/main" count="69" uniqueCount="56">
  <si>
    <r>
      <t>Data hasil tangkapan ikan kakap merah (</t>
    </r>
    <r>
      <rPr>
        <i/>
        <sz val="11"/>
        <color theme="1"/>
        <rFont val="Calibri"/>
        <family val="2"/>
        <scheme val="minor"/>
      </rPr>
      <t>Lutjanus campechanus</t>
    </r>
    <r>
      <rPr>
        <sz val="11"/>
        <color theme="1"/>
        <rFont val="Calibri"/>
        <family val="2"/>
        <scheme val="minor"/>
      </rPr>
      <t>) pada alat tangkap trawl</t>
    </r>
  </si>
  <si>
    <t>A</t>
  </si>
  <si>
    <t>B</t>
  </si>
  <si>
    <t>C</t>
  </si>
  <si>
    <t>D</t>
  </si>
  <si>
    <t>E</t>
  </si>
  <si>
    <t>F</t>
  </si>
  <si>
    <t>G</t>
  </si>
  <si>
    <t>H</t>
  </si>
  <si>
    <t>Interval Panjang</t>
  </si>
  <si>
    <t>Jumlah dalam Kantong</t>
  </si>
  <si>
    <t>Jumlah dalam Penutup</t>
  </si>
  <si>
    <t>Jumlah Total</t>
  </si>
  <si>
    <t>Bagian yang Tertahan (Sl obs)</t>
  </si>
  <si>
    <t>Ln(1/SL-1)</t>
  </si>
  <si>
    <t>Titik Tengah ((L1+L2)/2)</t>
  </si>
  <si>
    <t>Bagian yang Tertahan (Sl est)</t>
  </si>
  <si>
    <t>L1</t>
  </si>
  <si>
    <t>L2</t>
  </si>
  <si>
    <t>Y</t>
  </si>
  <si>
    <t>X</t>
  </si>
  <si>
    <t>SUMMARY OUTPUT</t>
  </si>
  <si>
    <t>Regression Statistics</t>
  </si>
  <si>
    <t>Multiple R</t>
  </si>
  <si>
    <t>R Square</t>
  </si>
  <si>
    <t>Adjusted R Square</t>
  </si>
  <si>
    <t>Standard Error</t>
  </si>
  <si>
    <t>Observations</t>
  </si>
  <si>
    <t>ANOVA</t>
  </si>
  <si>
    <t>Regression</t>
  </si>
  <si>
    <t>Residual</t>
  </si>
  <si>
    <t>Total</t>
  </si>
  <si>
    <t>Intercept</t>
  </si>
  <si>
    <t>df</t>
  </si>
  <si>
    <t>SS</t>
  </si>
  <si>
    <t>MS</t>
  </si>
  <si>
    <t>Significance F</t>
  </si>
  <si>
    <t>Coefficients</t>
  </si>
  <si>
    <t>t Stat</t>
  </si>
  <si>
    <t>P-value</t>
  </si>
  <si>
    <t>Lower 95%</t>
  </si>
  <si>
    <t>Upper 95%</t>
  </si>
  <si>
    <t>Lower 95.0%</t>
  </si>
  <si>
    <t>Upper 95.0%</t>
  </si>
  <si>
    <t>X Variable 1</t>
  </si>
  <si>
    <t>a</t>
  </si>
  <si>
    <t>b</t>
  </si>
  <si>
    <t>LM ikan</t>
  </si>
  <si>
    <t>LM 50%</t>
  </si>
  <si>
    <t>L50%</t>
  </si>
  <si>
    <t>M</t>
  </si>
  <si>
    <t>SF</t>
  </si>
  <si>
    <t>M optimal</t>
  </si>
  <si>
    <t>:</t>
  </si>
  <si>
    <t>cm</t>
  </si>
  <si>
    <t>inchi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</si>
</sst>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3">
    <fill>
      <patternFill patternType="none"/>
    </fill>
    <fill>
      <patternFill patternType="gray125"/>
    </fill>
    <fill>
      <patternFill patternType="solid">
        <fgColor rgb="FFFFFF00"/>
        <bgColor indexed="64"/>
      </patternFill>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0" fillId="0" borderId="0" xfId="0" applyAlignment="1">
      <alignment horizontal="center"/>
    </xf>
    <xf numFmtId="0" fontId="1" fillId="0" borderId="0" xfId="0" applyFont="1" applyAlignment="1">
      <alignment horizontal="center" vertical="center" wrapText="1"/>
    </xf>
    <xf numFmtId="0" fontId="1" fillId="0" borderId="0" xfId="0" applyFont="1" applyAlignment="1">
      <alignment horizontal="center" vertical="center"/>
    </xf>
    <xf numFmtId="2" fontId="0" fillId="0" borderId="0" xfId="0" applyNumberFormat="1"/>
    <xf numFmtId="2" fontId="0" fillId="2" borderId="0" xfId="0" applyNumberFormat="1" applyFill="1"/>
    <xf numFmtId="0" fontId="0" fillId="0" borderId="0" xfId="0" applyFill="1" applyBorder="1" applyAlignment="1"/>
    <xf numFmtId="0" fontId="0" fillId="0" borderId="1" xfId="0" applyFill="1" applyBorder="1" applyAlignment="1"/>
    <xf numFmtId="0" fontId="2" fillId="0" borderId="2" xfId="0" applyFont="1" applyFill="1" applyBorder="1" applyAlignment="1">
      <alignment horizontal="center"/>
    </xf>
    <xf numFmtId="0" fontId="2" fillId="0" borderId="2" xfId="0" applyFont="1" applyFill="1" applyBorder="1" applyAlignment="1">
      <alignment horizontal="centerContinuous"/>
    </xf>
    <xf numFmtId="0" fontId="0" fillId="0" borderId="0" xfId="0" applyAlignment="1">
      <alignment horizontal="center" vertical="center"/>
    </xf>
    <xf numFmtId="0" fontId="1" fillId="0" borderId="0" xfId="0" applyFont="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id-ID"/>
              <a:t>Ogive Selektifitas</a:t>
            </a:r>
            <a:r>
              <a:rPr lang="id-ID" baseline="0"/>
              <a:t> Alat Tangkap Trawl</a:t>
            </a:r>
            <a:endParaRPr lang="id-ID"/>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1"/>
          <c:order val="1"/>
          <c:tx>
            <c:v>SL Est</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Sheet1!$H$11:$H$20</c:f>
              <c:numCache>
                <c:formatCode>General</c:formatCode>
                <c:ptCount val="10"/>
                <c:pt idx="0">
                  <c:v>9.8000000000000007</c:v>
                </c:pt>
                <c:pt idx="1">
                  <c:v>11.3</c:v>
                </c:pt>
                <c:pt idx="2">
                  <c:v>12.8</c:v>
                </c:pt>
                <c:pt idx="3">
                  <c:v>14.3</c:v>
                </c:pt>
                <c:pt idx="4">
                  <c:v>15.8</c:v>
                </c:pt>
                <c:pt idx="5">
                  <c:v>17.3</c:v>
                </c:pt>
                <c:pt idx="6">
                  <c:v>18.8</c:v>
                </c:pt>
                <c:pt idx="7">
                  <c:v>20.3</c:v>
                </c:pt>
                <c:pt idx="8">
                  <c:v>21.8</c:v>
                </c:pt>
                <c:pt idx="9">
                  <c:v>23.3</c:v>
                </c:pt>
              </c:numCache>
            </c:numRef>
          </c:xVal>
          <c:yVal>
            <c:numRef>
              <c:f>Sheet1!$I$11:$I$20</c:f>
              <c:numCache>
                <c:formatCode>0.00</c:formatCode>
                <c:ptCount val="10"/>
                <c:pt idx="0">
                  <c:v>0.47296321608926206</c:v>
                </c:pt>
                <c:pt idx="1">
                  <c:v>0.53438590221125093</c:v>
                </c:pt>
                <c:pt idx="2">
                  <c:v>0.59478322960640073</c:v>
                </c:pt>
                <c:pt idx="3">
                  <c:v>0.65244153832763419</c:v>
                </c:pt>
                <c:pt idx="4">
                  <c:v>0.70595163025617358</c:v>
                </c:pt>
                <c:pt idx="5">
                  <c:v>0.75432545473368284</c:v>
                </c:pt>
                <c:pt idx="6">
                  <c:v>0.79702933639750206</c:v>
                </c:pt>
                <c:pt idx="7">
                  <c:v>0.83394436732293431</c:v>
                </c:pt>
                <c:pt idx="8">
                  <c:v>0.8652803514755647</c:v>
                </c:pt>
                <c:pt idx="9">
                  <c:v>0.89147254052953662</c:v>
                </c:pt>
              </c:numCache>
            </c:numRef>
          </c:yVal>
          <c:smooth val="1"/>
          <c:extLst>
            <c:ext xmlns:c16="http://schemas.microsoft.com/office/drawing/2014/chart" uri="{C3380CC4-5D6E-409C-BE32-E72D297353CC}">
              <c16:uniqueId val="{00000000-F2E9-41E8-A6A7-1B8F63BDD247}"/>
            </c:ext>
          </c:extLst>
        </c:ser>
        <c:dLbls>
          <c:showLegendKey val="0"/>
          <c:showVal val="0"/>
          <c:showCatName val="0"/>
          <c:showSerName val="0"/>
          <c:showPercent val="0"/>
          <c:showBubbleSize val="0"/>
        </c:dLbls>
        <c:axId val="-171209808"/>
        <c:axId val="-171215248"/>
      </c:scatterChart>
      <c:scatterChart>
        <c:scatterStyle val="lineMarker"/>
        <c:varyColors val="0"/>
        <c:ser>
          <c:idx val="0"/>
          <c:order val="0"/>
          <c:tx>
            <c:v>SL Obs</c:v>
          </c:tx>
          <c:spPr>
            <a:ln w="25400" cap="rnd">
              <a:noFill/>
              <a:round/>
            </a:ln>
            <a:effectLst/>
          </c:spPr>
          <c:marker>
            <c:symbol val="circle"/>
            <c:size val="5"/>
            <c:spPr>
              <a:solidFill>
                <a:schemeClr val="accent1"/>
              </a:solidFill>
              <a:ln w="9525">
                <a:solidFill>
                  <a:schemeClr val="accent1"/>
                </a:solidFill>
              </a:ln>
              <a:effectLst/>
            </c:spPr>
          </c:marker>
          <c:xVal>
            <c:numRef>
              <c:f>Sheet1!$H$11:$H$20</c:f>
              <c:numCache>
                <c:formatCode>General</c:formatCode>
                <c:ptCount val="10"/>
                <c:pt idx="0">
                  <c:v>9.8000000000000007</c:v>
                </c:pt>
                <c:pt idx="1">
                  <c:v>11.3</c:v>
                </c:pt>
                <c:pt idx="2">
                  <c:v>12.8</c:v>
                </c:pt>
                <c:pt idx="3">
                  <c:v>14.3</c:v>
                </c:pt>
                <c:pt idx="4">
                  <c:v>15.8</c:v>
                </c:pt>
                <c:pt idx="5">
                  <c:v>17.3</c:v>
                </c:pt>
                <c:pt idx="6">
                  <c:v>18.8</c:v>
                </c:pt>
                <c:pt idx="7">
                  <c:v>20.3</c:v>
                </c:pt>
                <c:pt idx="8">
                  <c:v>21.8</c:v>
                </c:pt>
                <c:pt idx="9">
                  <c:v>23.3</c:v>
                </c:pt>
              </c:numCache>
            </c:numRef>
          </c:xVal>
          <c:yVal>
            <c:numRef>
              <c:f>Sheet1!$F$11:$F$20</c:f>
              <c:numCache>
                <c:formatCode>0.00</c:formatCode>
                <c:ptCount val="10"/>
                <c:pt idx="0">
                  <c:v>0.58139534883720934</c:v>
                </c:pt>
                <c:pt idx="1">
                  <c:v>0.46250000000000002</c:v>
                </c:pt>
                <c:pt idx="2">
                  <c:v>0.57917570498915405</c:v>
                </c:pt>
                <c:pt idx="3">
                  <c:v>0.67994100294985249</c:v>
                </c:pt>
                <c:pt idx="4">
                  <c:v>0.64506172839506171</c:v>
                </c:pt>
                <c:pt idx="5">
                  <c:v>0.74439461883408076</c:v>
                </c:pt>
                <c:pt idx="6">
                  <c:v>0.77304964539007093</c:v>
                </c:pt>
                <c:pt idx="7">
                  <c:v>0.85227272727272729</c:v>
                </c:pt>
                <c:pt idx="8">
                  <c:v>0.84482758620689657</c:v>
                </c:pt>
                <c:pt idx="9">
                  <c:v>0.91666666666666663</c:v>
                </c:pt>
              </c:numCache>
            </c:numRef>
          </c:yVal>
          <c:smooth val="0"/>
          <c:extLst>
            <c:ext xmlns:c16="http://schemas.microsoft.com/office/drawing/2014/chart" uri="{C3380CC4-5D6E-409C-BE32-E72D297353CC}">
              <c16:uniqueId val="{00000001-F2E9-41E8-A6A7-1B8F63BDD247}"/>
            </c:ext>
          </c:extLst>
        </c:ser>
        <c:dLbls>
          <c:showLegendKey val="0"/>
          <c:showVal val="0"/>
          <c:showCatName val="0"/>
          <c:showSerName val="0"/>
          <c:showPercent val="0"/>
          <c:showBubbleSize val="0"/>
        </c:dLbls>
        <c:axId val="-171209808"/>
        <c:axId val="-171215248"/>
      </c:scatterChart>
      <c:valAx>
        <c:axId val="-1712098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15248"/>
        <c:crosses val="autoZero"/>
        <c:crossBetween val="midCat"/>
      </c:valAx>
      <c:valAx>
        <c:axId val="-171215248"/>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209808"/>
        <c:crosses val="autoZero"/>
        <c:crossBetween val="midCat"/>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xdr:col>
      <xdr:colOff>0</xdr:colOff>
      <xdr:row>39</xdr:row>
      <xdr:rowOff>0</xdr:rowOff>
    </xdr:from>
    <xdr:to>
      <xdr:col>8</xdr:col>
      <xdr:colOff>601807</xdr:colOff>
      <xdr:row>46</xdr:row>
      <xdr:rowOff>51954</xdr:rowOff>
    </xdr:to>
    <xdr:sp macro="" textlink="">
      <xdr:nvSpPr>
        <xdr:cNvPr id="3" name="Rectangle 2"/>
        <xdr:cNvSpPr/>
      </xdr:nvSpPr>
      <xdr:spPr>
        <a:xfrm>
          <a:off x="2905125" y="8181975"/>
          <a:ext cx="3125932" cy="1385454"/>
        </a:xfrm>
        <a:prstGeom prst="rect">
          <a:avLst/>
        </a:prstGeom>
        <a:solidFill>
          <a:srgbClr val="FFFF00"/>
        </a:solidFill>
        <a:ln w="3175">
          <a:solidFill>
            <a:srgbClr val="FFFF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id-ID" sz="1100">
              <a:solidFill>
                <a:sysClr val="windowText" lastClr="000000"/>
              </a:solidFill>
            </a:rPr>
            <a:t>1.</a:t>
          </a:r>
          <a:r>
            <a:rPr lang="id-ID" sz="1100" baseline="0">
              <a:solidFill>
                <a:sysClr val="windowText" lastClr="000000"/>
              </a:solidFill>
            </a:rPr>
            <a:t> SL Est : 1/(1+(EXP(a+b*nilai titik tengah)))  &gt;&gt; </a:t>
          </a:r>
          <a:r>
            <a:rPr lang="id-ID" sz="1100" b="1" baseline="0">
              <a:solidFill>
                <a:sysClr val="windowText" lastClr="000000"/>
              </a:solidFill>
            </a:rPr>
            <a:t>jangan lupa nilai a dan b dikunci</a:t>
          </a:r>
        </a:p>
        <a:p>
          <a:pPr algn="l"/>
          <a:r>
            <a:rPr lang="id-ID" sz="1100" b="0" baseline="0">
              <a:solidFill>
                <a:sysClr val="windowText" lastClr="000000"/>
              </a:solidFill>
            </a:rPr>
            <a:t>&gt;&gt;LM ikan dan M sudah diketahui&lt;&lt;</a:t>
          </a:r>
        </a:p>
        <a:p>
          <a:pPr algn="l"/>
          <a:r>
            <a:rPr lang="id-ID" sz="1100">
              <a:solidFill>
                <a:sysClr val="windowText" lastClr="000000"/>
              </a:solidFill>
            </a:rPr>
            <a:t>2. LM 50% : ABS(a/b)</a:t>
          </a:r>
        </a:p>
        <a:p>
          <a:pPr algn="l"/>
          <a:r>
            <a:rPr lang="id-ID" sz="1100">
              <a:solidFill>
                <a:sysClr val="windowText" lastClr="000000"/>
              </a:solidFill>
            </a:rPr>
            <a:t>3. SF</a:t>
          </a:r>
          <a:r>
            <a:rPr lang="id-ID" sz="1100" baseline="0">
              <a:solidFill>
                <a:sysClr val="windowText" lastClr="000000"/>
              </a:solidFill>
            </a:rPr>
            <a:t> : LM 50% / M</a:t>
          </a:r>
        </a:p>
        <a:p>
          <a:pPr algn="l"/>
          <a:r>
            <a:rPr lang="id-ID" sz="1100">
              <a:solidFill>
                <a:sysClr val="windowText" lastClr="000000"/>
              </a:solidFill>
            </a:rPr>
            <a:t>4. M optimal : LM ikan/SF</a:t>
          </a:r>
        </a:p>
        <a:p>
          <a:pPr algn="l"/>
          <a:r>
            <a:rPr lang="id-ID" sz="1100">
              <a:solidFill>
                <a:sysClr val="windowText" lastClr="000000"/>
              </a:solidFill>
            </a:rPr>
            <a:t>5.</a:t>
          </a:r>
          <a:r>
            <a:rPr lang="id-ID" sz="1100" baseline="0">
              <a:solidFill>
                <a:sysClr val="windowText" lastClr="000000"/>
              </a:solidFill>
            </a:rPr>
            <a:t> L50% : M x SF</a:t>
          </a:r>
          <a:endParaRPr lang="en-US" sz="1100">
            <a:solidFill>
              <a:sysClr val="windowText" lastClr="000000"/>
            </a:solidFill>
          </a:endParaRPr>
        </a:p>
      </xdr:txBody>
    </xdr:sp>
    <xdr:clientData/>
  </xdr:twoCellAnchor>
  <xdr:twoCellAnchor>
    <xdr:from>
      <xdr:col>11</xdr:col>
      <xdr:colOff>9525</xdr:colOff>
      <xdr:row>40</xdr:row>
      <xdr:rowOff>133350</xdr:rowOff>
    </xdr:from>
    <xdr:to>
      <xdr:col>20</xdr:col>
      <xdr:colOff>411307</xdr:colOff>
      <xdr:row>53</xdr:row>
      <xdr:rowOff>12122</xdr:rowOff>
    </xdr:to>
    <xdr:sp macro="" textlink="">
      <xdr:nvSpPr>
        <xdr:cNvPr id="5" name="TextBox 4"/>
        <xdr:cNvSpPr txBox="1"/>
      </xdr:nvSpPr>
      <xdr:spPr>
        <a:xfrm>
          <a:off x="7267575" y="8505825"/>
          <a:ext cx="5888182" cy="235527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id-ID" sz="1100"/>
            <a:t>KESIMPULAN</a:t>
          </a:r>
        </a:p>
        <a:p>
          <a:r>
            <a:rPr lang="id-ID" sz="1100"/>
            <a:t>1) SL</a:t>
          </a:r>
          <a:r>
            <a:rPr lang="id-ID" sz="1100" baseline="0"/>
            <a:t> Obs bernilai 1 mengindikasikan bahwa Ikan Kakap Merah tersebut tertangkap penuh pada alat tangkap trawl (retensi 100%). Jika SL Obs bernilai 0 menunjukan bahwa Ikan Kakap Merah tidak tertagkap sama sekali (retensi 0%)</a:t>
          </a:r>
        </a:p>
        <a:p>
          <a:r>
            <a:rPr lang="id-ID" sz="1100" baseline="0"/>
            <a:t>2) Pada interval panjang kelas dengan nilai SL Obs 1 yaitu 22.6 - 24 menunjukan ukuran Lm maksimum dan Lm optimal pada panjang kelas 12.1 -13.5 dan seterusnya, dilihat dari perhitungan LM 50%</a:t>
          </a:r>
        </a:p>
        <a:p>
          <a:r>
            <a:rPr lang="id-ID" sz="1100" baseline="0"/>
            <a:t>3) Pada alat tangkap Trawl memiliki Selection Faktor 3.49 dengan mesh size 3 cm, dengan mesh size yang baik sebesar 4.88 cm</a:t>
          </a:r>
        </a:p>
        <a:p>
          <a:r>
            <a:rPr lang="id-ID" sz="1100" baseline="0"/>
            <a:t>4) Ketika Lc &gt; Lm, maka alat tangkap tersebut selektif dan sebaliknya</a:t>
          </a:r>
        </a:p>
        <a:p>
          <a:r>
            <a:rPr lang="id-ID" sz="1100" baseline="0"/>
            <a:t>5) Tingkat selektivitas alat tangkap ditentukan berdasarkan mesh size dan ukuran spesies ikan tertentu. Pada alat tangkap trawl termasuk alat tangkap yang selektif untuk target tangkapan Ikan Kakap Merah dengan mesh size 3 cm</a:t>
          </a:r>
          <a:endParaRPr lang="id-ID" sz="1100"/>
        </a:p>
      </xdr:txBody>
    </xdr:sp>
    <xdr:clientData/>
  </xdr:twoCellAnchor>
  <xdr:twoCellAnchor>
    <xdr:from>
      <xdr:col>11</xdr:col>
      <xdr:colOff>19050</xdr:colOff>
      <xdr:row>25</xdr:row>
      <xdr:rowOff>176212</xdr:rowOff>
    </xdr:from>
    <xdr:to>
      <xdr:col>18</xdr:col>
      <xdr:colOff>323850</xdr:colOff>
      <xdr:row>40</xdr:row>
      <xdr:rowOff>61912</xdr:rowOff>
    </xdr:to>
    <xdr:grpSp>
      <xdr:nvGrpSpPr>
        <xdr:cNvPr id="4" name="Group 3"/>
        <xdr:cNvGrpSpPr/>
      </xdr:nvGrpSpPr>
      <xdr:grpSpPr>
        <a:xfrm>
          <a:off x="7277100" y="5691187"/>
          <a:ext cx="4572000" cy="2743200"/>
          <a:chOff x="7277100" y="5691187"/>
          <a:chExt cx="4572000" cy="2743200"/>
        </a:xfrm>
      </xdr:grpSpPr>
      <xdr:graphicFrame macro="">
        <xdr:nvGraphicFramePr>
          <xdr:cNvPr id="2" name="Chart 1"/>
          <xdr:cNvGraphicFramePr/>
        </xdr:nvGraphicFramePr>
        <xdr:xfrm>
          <a:off x="7277100" y="5691187"/>
          <a:ext cx="4572000" cy="2743200"/>
        </xdr:xfrm>
        <a:graphic>
          <a:graphicData uri="http://schemas.openxmlformats.org/drawingml/2006/chart">
            <c:chart xmlns:c="http://schemas.openxmlformats.org/drawingml/2006/chart" xmlns:r="http://schemas.openxmlformats.org/officeDocument/2006/relationships" r:id="rId1"/>
          </a:graphicData>
        </a:graphic>
      </xdr:graphicFrame>
      <xdr:cxnSp macro="">
        <xdr:nvCxnSpPr>
          <xdr:cNvPr id="6" name="Straight Connector 5"/>
          <xdr:cNvCxnSpPr/>
        </xdr:nvCxnSpPr>
        <xdr:spPr>
          <a:xfrm>
            <a:off x="7677150" y="7153275"/>
            <a:ext cx="1333500" cy="0"/>
          </a:xfrm>
          <a:prstGeom prst="line">
            <a:avLst/>
          </a:prstGeom>
        </xdr:spPr>
        <xdr:style>
          <a:lnRef idx="1">
            <a:schemeClr val="accent1"/>
          </a:lnRef>
          <a:fillRef idx="0">
            <a:schemeClr val="accent1"/>
          </a:fillRef>
          <a:effectRef idx="0">
            <a:schemeClr val="accent1"/>
          </a:effectRef>
          <a:fontRef idx="minor">
            <a:schemeClr val="tx1"/>
          </a:fontRef>
        </xdr:style>
      </xdr:cxnSp>
      <xdr:cxnSp macro="">
        <xdr:nvCxnSpPr>
          <xdr:cNvPr id="8" name="Straight Connector 7"/>
          <xdr:cNvCxnSpPr/>
        </xdr:nvCxnSpPr>
        <xdr:spPr>
          <a:xfrm>
            <a:off x="9001125" y="7162800"/>
            <a:ext cx="0" cy="981075"/>
          </a:xfrm>
          <a:prstGeom prst="line">
            <a:avLst/>
          </a:prstGeom>
        </xdr:spPr>
        <xdr:style>
          <a:lnRef idx="1">
            <a:schemeClr val="accent1"/>
          </a:lnRef>
          <a:fillRef idx="0">
            <a:schemeClr val="accent1"/>
          </a:fillRef>
          <a:effectRef idx="0">
            <a:schemeClr val="accent1"/>
          </a:effectRef>
          <a:fontRef idx="minor">
            <a:schemeClr val="tx1"/>
          </a:fontRef>
        </xdr:style>
      </xdr:cxnSp>
    </xdr:grp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0"/>
  <sheetViews>
    <sheetView tabSelected="1" topLeftCell="A28" workbookViewId="0">
      <selection activeCell="K42" sqref="K42"/>
    </sheetView>
  </sheetViews>
  <sheetFormatPr defaultRowHeight="15" x14ac:dyDescent="0.25"/>
  <cols>
    <col min="1" max="1" width="11.28515625" customWidth="1"/>
    <col min="3" max="3" width="12.85546875" customWidth="1"/>
    <col min="4" max="4" width="10.28515625" customWidth="1"/>
    <col min="6" max="6" width="10.42578125" customWidth="1"/>
  </cols>
  <sheetData>
    <row r="1" spans="1:17" x14ac:dyDescent="0.25">
      <c r="A1" t="s">
        <v>0</v>
      </c>
    </row>
    <row r="2" spans="1:17" x14ac:dyDescent="0.25">
      <c r="A2" s="11" t="s">
        <v>1</v>
      </c>
      <c r="B2" s="11"/>
      <c r="C2" s="1" t="s">
        <v>2</v>
      </c>
      <c r="D2" s="1" t="s">
        <v>3</v>
      </c>
      <c r="E2" s="1" t="s">
        <v>4</v>
      </c>
      <c r="F2" s="1" t="s">
        <v>5</v>
      </c>
      <c r="G2" s="1" t="s">
        <v>6</v>
      </c>
      <c r="H2" s="1" t="s">
        <v>7</v>
      </c>
      <c r="I2" s="1" t="s">
        <v>8</v>
      </c>
    </row>
    <row r="3" spans="1:17" ht="69.75" customHeight="1" x14ac:dyDescent="0.25">
      <c r="A3" s="12" t="s">
        <v>9</v>
      </c>
      <c r="B3" s="12"/>
      <c r="C3" s="3" t="s">
        <v>10</v>
      </c>
      <c r="D3" s="3" t="s">
        <v>11</v>
      </c>
      <c r="E3" s="3" t="s">
        <v>12</v>
      </c>
      <c r="F3" s="3" t="s">
        <v>13</v>
      </c>
      <c r="G3" s="3" t="s">
        <v>14</v>
      </c>
      <c r="H3" s="3" t="s">
        <v>15</v>
      </c>
      <c r="I3" s="3" t="s">
        <v>16</v>
      </c>
    </row>
    <row r="4" spans="1:17" x14ac:dyDescent="0.25">
      <c r="A4" s="4" t="s">
        <v>17</v>
      </c>
      <c r="B4" s="4" t="s">
        <v>18</v>
      </c>
      <c r="C4" s="4"/>
      <c r="D4" s="4"/>
      <c r="E4" s="4"/>
      <c r="F4" s="4"/>
      <c r="G4" s="4" t="s">
        <v>19</v>
      </c>
      <c r="H4" s="4" t="s">
        <v>20</v>
      </c>
    </row>
    <row r="5" spans="1:17" x14ac:dyDescent="0.25">
      <c r="A5">
        <v>0</v>
      </c>
      <c r="B5">
        <v>1.5</v>
      </c>
      <c r="C5">
        <v>0</v>
      </c>
      <c r="D5">
        <v>89</v>
      </c>
      <c r="E5">
        <f>C5+D5</f>
        <v>89</v>
      </c>
      <c r="F5">
        <f>C5/E5</f>
        <v>0</v>
      </c>
    </row>
    <row r="6" spans="1:17" x14ac:dyDescent="0.25">
      <c r="A6">
        <v>1.6</v>
      </c>
      <c r="B6">
        <v>3</v>
      </c>
      <c r="C6">
        <v>11</v>
      </c>
      <c r="D6">
        <v>0</v>
      </c>
      <c r="E6">
        <f t="shared" ref="E6:E32" si="0">C6+D6</f>
        <v>11</v>
      </c>
      <c r="F6">
        <f t="shared" ref="F6:F32" si="1">C6/E6</f>
        <v>1</v>
      </c>
      <c r="L6" t="s">
        <v>21</v>
      </c>
    </row>
    <row r="7" spans="1:17" ht="15.75" thickBot="1" x14ac:dyDescent="0.3">
      <c r="A7">
        <v>3.1</v>
      </c>
      <c r="B7">
        <v>4.5</v>
      </c>
      <c r="C7">
        <v>0</v>
      </c>
      <c r="D7">
        <v>0</v>
      </c>
      <c r="E7">
        <f t="shared" si="0"/>
        <v>0</v>
      </c>
      <c r="F7" t="e">
        <f t="shared" si="1"/>
        <v>#DIV/0!</v>
      </c>
    </row>
    <row r="8" spans="1:17" x14ac:dyDescent="0.25">
      <c r="A8">
        <v>4.5999999999999996</v>
      </c>
      <c r="B8">
        <v>6</v>
      </c>
      <c r="C8">
        <v>17</v>
      </c>
      <c r="D8">
        <v>0</v>
      </c>
      <c r="E8">
        <f t="shared" si="0"/>
        <v>17</v>
      </c>
      <c r="F8">
        <f t="shared" si="1"/>
        <v>1</v>
      </c>
      <c r="L8" s="10" t="s">
        <v>22</v>
      </c>
      <c r="M8" s="10"/>
    </row>
    <row r="9" spans="1:17" x14ac:dyDescent="0.25">
      <c r="A9">
        <v>6.1</v>
      </c>
      <c r="B9">
        <v>7.5</v>
      </c>
      <c r="C9">
        <v>32</v>
      </c>
      <c r="D9">
        <v>25</v>
      </c>
      <c r="E9">
        <f t="shared" si="0"/>
        <v>57</v>
      </c>
      <c r="F9" s="5">
        <f t="shared" si="1"/>
        <v>0.56140350877192979</v>
      </c>
      <c r="L9" s="7" t="s">
        <v>23</v>
      </c>
      <c r="M9" s="7">
        <v>0.95119511657895395</v>
      </c>
    </row>
    <row r="10" spans="1:17" x14ac:dyDescent="0.25">
      <c r="A10">
        <v>7.6</v>
      </c>
      <c r="B10">
        <v>9</v>
      </c>
      <c r="C10">
        <v>26</v>
      </c>
      <c r="D10">
        <v>0</v>
      </c>
      <c r="E10">
        <f t="shared" si="0"/>
        <v>26</v>
      </c>
      <c r="F10">
        <f t="shared" si="1"/>
        <v>1</v>
      </c>
      <c r="L10" s="7" t="s">
        <v>24</v>
      </c>
      <c r="M10" s="7">
        <v>0.90477214980364973</v>
      </c>
    </row>
    <row r="11" spans="1:17" x14ac:dyDescent="0.25">
      <c r="A11">
        <v>9.1</v>
      </c>
      <c r="B11">
        <v>10.5</v>
      </c>
      <c r="C11">
        <v>25</v>
      </c>
      <c r="D11">
        <v>18</v>
      </c>
      <c r="E11">
        <f t="shared" si="0"/>
        <v>43</v>
      </c>
      <c r="F11" s="6">
        <f t="shared" si="1"/>
        <v>0.58139534883720934</v>
      </c>
      <c r="G11" s="5">
        <f>LN(1/F11-1)</f>
        <v>-0.3285040669720361</v>
      </c>
      <c r="H11">
        <f>((A11+B11)/2)</f>
        <v>9.8000000000000007</v>
      </c>
      <c r="I11" s="5">
        <f>1/(1+EXP($M$22+$M$23*H11))</f>
        <v>0.47296321608926206</v>
      </c>
      <c r="L11" s="7" t="s">
        <v>25</v>
      </c>
      <c r="M11" s="7">
        <v>0.89286866852910585</v>
      </c>
    </row>
    <row r="12" spans="1:17" x14ac:dyDescent="0.25">
      <c r="A12">
        <v>10.6</v>
      </c>
      <c r="B12">
        <v>12</v>
      </c>
      <c r="C12">
        <v>111</v>
      </c>
      <c r="D12">
        <v>129</v>
      </c>
      <c r="E12">
        <f t="shared" si="0"/>
        <v>240</v>
      </c>
      <c r="F12" s="6">
        <f t="shared" si="1"/>
        <v>0.46250000000000002</v>
      </c>
      <c r="G12" s="5">
        <f t="shared" ref="G12:G20" si="2">LN(1/F12-1)</f>
        <v>0.1502822030493377</v>
      </c>
      <c r="H12">
        <f t="shared" ref="H12:H20" si="3">((A12+B12)/2)</f>
        <v>11.3</v>
      </c>
      <c r="I12" s="5">
        <f t="shared" ref="I12:I20" si="4">1/(1+EXP($M$22+$M$23*H12))</f>
        <v>0.53438590221125093</v>
      </c>
      <c r="L12" s="7" t="s">
        <v>26</v>
      </c>
      <c r="M12" s="7">
        <v>0.25630307463649676</v>
      </c>
    </row>
    <row r="13" spans="1:17" ht="15.75" thickBot="1" x14ac:dyDescent="0.3">
      <c r="A13">
        <v>12.1</v>
      </c>
      <c r="B13">
        <v>13.5</v>
      </c>
      <c r="C13">
        <v>267</v>
      </c>
      <c r="D13">
        <v>194</v>
      </c>
      <c r="E13">
        <f t="shared" si="0"/>
        <v>461</v>
      </c>
      <c r="F13" s="6">
        <f t="shared" si="1"/>
        <v>0.57917570498915405</v>
      </c>
      <c r="G13" s="5">
        <f t="shared" si="2"/>
        <v>-0.31939049933692137</v>
      </c>
      <c r="H13">
        <f t="shared" si="3"/>
        <v>12.8</v>
      </c>
      <c r="I13" s="5">
        <f t="shared" si="4"/>
        <v>0.59478322960640073</v>
      </c>
      <c r="L13" s="8" t="s">
        <v>27</v>
      </c>
      <c r="M13" s="8">
        <v>10</v>
      </c>
    </row>
    <row r="14" spans="1:17" x14ac:dyDescent="0.25">
      <c r="A14">
        <v>13.6</v>
      </c>
      <c r="B14">
        <v>15</v>
      </c>
      <c r="C14">
        <v>461</v>
      </c>
      <c r="D14">
        <v>217</v>
      </c>
      <c r="E14">
        <f t="shared" si="0"/>
        <v>678</v>
      </c>
      <c r="F14" s="6">
        <f t="shared" si="1"/>
        <v>0.67994100294985249</v>
      </c>
      <c r="G14" s="5">
        <f t="shared" si="2"/>
        <v>-0.75350068945618875</v>
      </c>
      <c r="H14">
        <f t="shared" si="3"/>
        <v>14.3</v>
      </c>
      <c r="I14" s="5">
        <f t="shared" si="4"/>
        <v>0.65244153832763419</v>
      </c>
    </row>
    <row r="15" spans="1:17" ht="15.75" thickBot="1" x14ac:dyDescent="0.3">
      <c r="A15">
        <v>15.1</v>
      </c>
      <c r="B15">
        <v>16.5</v>
      </c>
      <c r="C15">
        <v>209</v>
      </c>
      <c r="D15">
        <v>115</v>
      </c>
      <c r="E15">
        <f t="shared" si="0"/>
        <v>324</v>
      </c>
      <c r="F15" s="6">
        <f t="shared" si="1"/>
        <v>0.64506172839506171</v>
      </c>
      <c r="G15" s="5">
        <f t="shared" si="2"/>
        <v>-0.59740212360156075</v>
      </c>
      <c r="H15">
        <f t="shared" si="3"/>
        <v>15.8</v>
      </c>
      <c r="I15" s="5">
        <f t="shared" si="4"/>
        <v>0.70595163025617358</v>
      </c>
      <c r="L15" t="s">
        <v>28</v>
      </c>
    </row>
    <row r="16" spans="1:17" x14ac:dyDescent="0.25">
      <c r="A16">
        <v>16.600000000000001</v>
      </c>
      <c r="B16">
        <v>18</v>
      </c>
      <c r="C16">
        <v>166</v>
      </c>
      <c r="D16">
        <v>57</v>
      </c>
      <c r="E16">
        <f t="shared" si="0"/>
        <v>223</v>
      </c>
      <c r="F16" s="6">
        <f t="shared" si="1"/>
        <v>0.74439461883408076</v>
      </c>
      <c r="G16" s="5">
        <f t="shared" si="2"/>
        <v>-1.0689365205219936</v>
      </c>
      <c r="H16">
        <f t="shared" si="3"/>
        <v>17.3</v>
      </c>
      <c r="I16" s="5">
        <f t="shared" si="4"/>
        <v>0.75432545473368284</v>
      </c>
      <c r="L16" s="9"/>
      <c r="M16" s="9" t="s">
        <v>33</v>
      </c>
      <c r="N16" s="9" t="s">
        <v>34</v>
      </c>
      <c r="O16" s="9" t="s">
        <v>35</v>
      </c>
      <c r="P16" s="9" t="s">
        <v>6</v>
      </c>
      <c r="Q16" s="9" t="s">
        <v>36</v>
      </c>
    </row>
    <row r="17" spans="1:20" x14ac:dyDescent="0.25">
      <c r="A17">
        <v>18.100000000000001</v>
      </c>
      <c r="B17">
        <v>19.5</v>
      </c>
      <c r="C17">
        <v>109</v>
      </c>
      <c r="D17">
        <v>32</v>
      </c>
      <c r="E17">
        <f t="shared" si="0"/>
        <v>141</v>
      </c>
      <c r="F17" s="6">
        <f t="shared" si="1"/>
        <v>0.77304964539007093</v>
      </c>
      <c r="G17" s="5">
        <f t="shared" si="2"/>
        <v>-1.2256119794294171</v>
      </c>
      <c r="H17">
        <f t="shared" si="3"/>
        <v>18.8</v>
      </c>
      <c r="I17" s="5">
        <f t="shared" si="4"/>
        <v>0.79702933639750206</v>
      </c>
      <c r="L17" s="7" t="s">
        <v>29</v>
      </c>
      <c r="M17" s="7">
        <v>1</v>
      </c>
      <c r="N17" s="7">
        <v>4.9931298796499233</v>
      </c>
      <c r="O17" s="7">
        <v>4.9931298796499233</v>
      </c>
      <c r="P17" s="7">
        <v>76.009037098966303</v>
      </c>
      <c r="Q17" s="7">
        <v>2.3397332647505403E-5</v>
      </c>
    </row>
    <row r="18" spans="1:20" x14ac:dyDescent="0.25">
      <c r="A18">
        <v>19.600000000000001</v>
      </c>
      <c r="B18">
        <v>21</v>
      </c>
      <c r="C18">
        <v>75</v>
      </c>
      <c r="D18">
        <v>13</v>
      </c>
      <c r="E18">
        <f t="shared" si="0"/>
        <v>88</v>
      </c>
      <c r="F18" s="6">
        <f t="shared" si="1"/>
        <v>0.85227272727272729</v>
      </c>
      <c r="G18" s="5">
        <f t="shared" si="2"/>
        <v>-1.7525387560747736</v>
      </c>
      <c r="H18">
        <f t="shared" si="3"/>
        <v>20.3</v>
      </c>
      <c r="I18" s="5">
        <f t="shared" si="4"/>
        <v>0.83394436732293431</v>
      </c>
      <c r="L18" s="7" t="s">
        <v>30</v>
      </c>
      <c r="M18" s="7">
        <v>8</v>
      </c>
      <c r="N18" s="7">
        <v>0.52553012854497305</v>
      </c>
      <c r="O18" s="7">
        <v>6.5691266068121631E-2</v>
      </c>
      <c r="P18" s="7"/>
      <c r="Q18" s="7"/>
    </row>
    <row r="19" spans="1:20" ht="15.75" thickBot="1" x14ac:dyDescent="0.3">
      <c r="A19">
        <v>21.1</v>
      </c>
      <c r="B19">
        <v>22.5</v>
      </c>
      <c r="C19">
        <v>49</v>
      </c>
      <c r="D19">
        <v>9</v>
      </c>
      <c r="E19">
        <f t="shared" si="0"/>
        <v>58</v>
      </c>
      <c r="F19" s="6">
        <f t="shared" si="1"/>
        <v>0.84482758620689657</v>
      </c>
      <c r="G19" s="5">
        <f t="shared" si="2"/>
        <v>-1.6945957207744073</v>
      </c>
      <c r="H19">
        <f t="shared" si="3"/>
        <v>21.8</v>
      </c>
      <c r="I19" s="5">
        <f t="shared" si="4"/>
        <v>0.8652803514755647</v>
      </c>
      <c r="L19" s="8" t="s">
        <v>31</v>
      </c>
      <c r="M19" s="8">
        <v>9</v>
      </c>
      <c r="N19" s="8">
        <v>5.518660008194896</v>
      </c>
      <c r="O19" s="8"/>
      <c r="P19" s="8"/>
      <c r="Q19" s="8"/>
    </row>
    <row r="20" spans="1:20" ht="15.75" thickBot="1" x14ac:dyDescent="0.3">
      <c r="A20">
        <v>22.6</v>
      </c>
      <c r="B20">
        <v>24</v>
      </c>
      <c r="C20">
        <v>11</v>
      </c>
      <c r="D20">
        <v>1</v>
      </c>
      <c r="E20">
        <f t="shared" si="0"/>
        <v>12</v>
      </c>
      <c r="F20" s="6">
        <f t="shared" si="1"/>
        <v>0.91666666666666663</v>
      </c>
      <c r="G20" s="5">
        <f t="shared" si="2"/>
        <v>-2.3978952727983689</v>
      </c>
      <c r="H20">
        <f t="shared" si="3"/>
        <v>23.3</v>
      </c>
      <c r="I20" s="5">
        <f t="shared" si="4"/>
        <v>0.89147254052953662</v>
      </c>
    </row>
    <row r="21" spans="1:20" x14ac:dyDescent="0.25">
      <c r="A21">
        <v>24.1</v>
      </c>
      <c r="B21">
        <v>25.5</v>
      </c>
      <c r="C21">
        <v>0</v>
      </c>
      <c r="D21">
        <v>0</v>
      </c>
      <c r="E21">
        <f t="shared" si="0"/>
        <v>0</v>
      </c>
      <c r="F21" t="e">
        <f t="shared" si="1"/>
        <v>#DIV/0!</v>
      </c>
      <c r="L21" s="9"/>
      <c r="M21" s="9" t="s">
        <v>37</v>
      </c>
      <c r="N21" s="9" t="s">
        <v>26</v>
      </c>
      <c r="O21" s="9" t="s">
        <v>38</v>
      </c>
      <c r="P21" s="9" t="s">
        <v>39</v>
      </c>
      <c r="Q21" s="9" t="s">
        <v>40</v>
      </c>
      <c r="R21" s="9" t="s">
        <v>41</v>
      </c>
      <c r="S21" s="9" t="s">
        <v>42</v>
      </c>
      <c r="T21" s="9" t="s">
        <v>43</v>
      </c>
    </row>
    <row r="22" spans="1:20" x14ac:dyDescent="0.25">
      <c r="A22">
        <v>25.6</v>
      </c>
      <c r="B22">
        <v>27</v>
      </c>
      <c r="C22">
        <v>32</v>
      </c>
      <c r="D22">
        <v>50</v>
      </c>
      <c r="E22">
        <f t="shared" si="0"/>
        <v>82</v>
      </c>
      <c r="F22" s="5">
        <f t="shared" si="1"/>
        <v>0.3902439024390244</v>
      </c>
      <c r="K22" t="s">
        <v>45</v>
      </c>
      <c r="L22" s="7" t="s">
        <v>32</v>
      </c>
      <c r="M22" s="7">
        <v>1.7155428418288683</v>
      </c>
      <c r="N22" s="7">
        <v>0.32171590563098268</v>
      </c>
      <c r="O22" s="7">
        <v>5.3324775424583599</v>
      </c>
      <c r="P22" s="7">
        <v>7.0043963389850993E-4</v>
      </c>
      <c r="Q22" s="7">
        <v>0.97366463308286866</v>
      </c>
      <c r="R22" s="7">
        <v>2.4574210505748679</v>
      </c>
      <c r="S22" s="7">
        <v>0.97366463308286866</v>
      </c>
      <c r="T22" s="7">
        <v>2.4574210505748679</v>
      </c>
    </row>
    <row r="23" spans="1:20" ht="15.75" thickBot="1" x14ac:dyDescent="0.3">
      <c r="A23">
        <v>27.1</v>
      </c>
      <c r="B23">
        <v>28.5</v>
      </c>
      <c r="C23">
        <v>112</v>
      </c>
      <c r="D23">
        <v>145</v>
      </c>
      <c r="E23">
        <f t="shared" si="0"/>
        <v>257</v>
      </c>
      <c r="F23" s="5">
        <f t="shared" si="1"/>
        <v>0.43579766536964981</v>
      </c>
      <c r="K23" t="s">
        <v>46</v>
      </c>
      <c r="L23" s="8" t="s">
        <v>44</v>
      </c>
      <c r="M23" s="8">
        <v>-0.16400919543326292</v>
      </c>
      <c r="N23" s="8">
        <v>1.8812026537684007E-2</v>
      </c>
      <c r="O23" s="8">
        <v>-8.7183161848470618</v>
      </c>
      <c r="P23" s="8">
        <v>2.3397332647505491E-5</v>
      </c>
      <c r="Q23" s="8">
        <v>-0.20738980642073276</v>
      </c>
      <c r="R23" s="8">
        <v>-0.12062858444579308</v>
      </c>
      <c r="S23" s="8">
        <v>-0.20738980642073276</v>
      </c>
      <c r="T23" s="8">
        <v>-0.12062858444579308</v>
      </c>
    </row>
    <row r="24" spans="1:20" x14ac:dyDescent="0.25">
      <c r="A24">
        <v>28.6</v>
      </c>
      <c r="B24">
        <v>30</v>
      </c>
      <c r="C24">
        <v>13</v>
      </c>
      <c r="D24">
        <v>15</v>
      </c>
      <c r="E24">
        <f t="shared" si="0"/>
        <v>28</v>
      </c>
      <c r="F24" s="5">
        <f t="shared" si="1"/>
        <v>0.4642857142857143</v>
      </c>
    </row>
    <row r="25" spans="1:20" x14ac:dyDescent="0.25">
      <c r="A25">
        <v>30.1</v>
      </c>
      <c r="B25">
        <v>31.5</v>
      </c>
      <c r="C25">
        <v>0</v>
      </c>
      <c r="D25">
        <v>12</v>
      </c>
      <c r="E25">
        <f t="shared" si="0"/>
        <v>12</v>
      </c>
      <c r="F25">
        <f t="shared" si="1"/>
        <v>0</v>
      </c>
    </row>
    <row r="26" spans="1:20" x14ac:dyDescent="0.25">
      <c r="A26">
        <v>31.6</v>
      </c>
      <c r="B26">
        <v>33</v>
      </c>
      <c r="C26">
        <v>46</v>
      </c>
      <c r="D26">
        <v>0</v>
      </c>
      <c r="E26">
        <f t="shared" si="0"/>
        <v>46</v>
      </c>
      <c r="F26">
        <f t="shared" si="1"/>
        <v>1</v>
      </c>
    </row>
    <row r="27" spans="1:20" x14ac:dyDescent="0.25">
      <c r="A27">
        <v>33.1</v>
      </c>
      <c r="B27">
        <v>34.5</v>
      </c>
      <c r="C27">
        <v>0</v>
      </c>
      <c r="D27">
        <v>13</v>
      </c>
      <c r="E27">
        <f t="shared" si="0"/>
        <v>13</v>
      </c>
      <c r="F27">
        <f t="shared" si="1"/>
        <v>0</v>
      </c>
    </row>
    <row r="28" spans="1:20" x14ac:dyDescent="0.25">
      <c r="A28">
        <v>34.6</v>
      </c>
      <c r="B28">
        <v>35</v>
      </c>
      <c r="C28">
        <v>0</v>
      </c>
      <c r="D28">
        <v>0</v>
      </c>
      <c r="E28">
        <f t="shared" si="0"/>
        <v>0</v>
      </c>
      <c r="F28" t="e">
        <f t="shared" si="1"/>
        <v>#DIV/0!</v>
      </c>
    </row>
    <row r="29" spans="1:20" x14ac:dyDescent="0.25">
      <c r="A29">
        <v>35.1</v>
      </c>
      <c r="B29">
        <v>36.5</v>
      </c>
      <c r="C29">
        <v>9</v>
      </c>
      <c r="D29">
        <v>0</v>
      </c>
      <c r="E29">
        <f t="shared" si="0"/>
        <v>9</v>
      </c>
      <c r="F29">
        <f t="shared" si="1"/>
        <v>1</v>
      </c>
    </row>
    <row r="30" spans="1:20" x14ac:dyDescent="0.25">
      <c r="A30">
        <v>36.6</v>
      </c>
      <c r="B30">
        <v>38</v>
      </c>
      <c r="C30">
        <v>0</v>
      </c>
      <c r="D30">
        <v>2</v>
      </c>
      <c r="E30">
        <f t="shared" si="0"/>
        <v>2</v>
      </c>
      <c r="F30">
        <f t="shared" si="1"/>
        <v>0</v>
      </c>
    </row>
    <row r="31" spans="1:20" x14ac:dyDescent="0.25">
      <c r="A31">
        <v>38.1</v>
      </c>
      <c r="B31">
        <v>39.5</v>
      </c>
      <c r="C31">
        <v>0</v>
      </c>
      <c r="D31">
        <v>0</v>
      </c>
      <c r="E31">
        <f t="shared" si="0"/>
        <v>0</v>
      </c>
      <c r="F31" t="e">
        <f t="shared" si="1"/>
        <v>#DIV/0!</v>
      </c>
    </row>
    <row r="32" spans="1:20" x14ac:dyDescent="0.25">
      <c r="A32">
        <v>39.6</v>
      </c>
      <c r="B32">
        <v>41</v>
      </c>
      <c r="C32">
        <v>0</v>
      </c>
      <c r="D32">
        <v>0</v>
      </c>
      <c r="E32">
        <f t="shared" si="0"/>
        <v>0</v>
      </c>
      <c r="F32" t="e">
        <f t="shared" si="1"/>
        <v>#DIV/0!</v>
      </c>
    </row>
    <row r="35" spans="1:10" x14ac:dyDescent="0.25">
      <c r="A35" t="s">
        <v>47</v>
      </c>
      <c r="B35" t="s">
        <v>53</v>
      </c>
      <c r="C35">
        <v>17</v>
      </c>
      <c r="D35" t="s">
        <v>54</v>
      </c>
    </row>
    <row r="36" spans="1:10" x14ac:dyDescent="0.25">
      <c r="A36" t="s">
        <v>48</v>
      </c>
      <c r="B36" t="s">
        <v>53</v>
      </c>
      <c r="C36" s="5">
        <f>ABS(M22/M23)</f>
        <v>10.460040592827253</v>
      </c>
      <c r="D36" t="s">
        <v>54</v>
      </c>
    </row>
    <row r="37" spans="1:10" x14ac:dyDescent="0.25">
      <c r="A37" t="s">
        <v>49</v>
      </c>
      <c r="B37" t="s">
        <v>53</v>
      </c>
      <c r="C37" s="5">
        <f>C38*C39</f>
        <v>10.460040592827253</v>
      </c>
      <c r="D37" t="s">
        <v>54</v>
      </c>
      <c r="F37">
        <v>1</v>
      </c>
      <c r="G37" t="s">
        <v>55</v>
      </c>
      <c r="H37" s="2" t="s">
        <v>53</v>
      </c>
      <c r="I37">
        <v>2.54</v>
      </c>
      <c r="J37" t="s">
        <v>54</v>
      </c>
    </row>
    <row r="38" spans="1:10" x14ac:dyDescent="0.25">
      <c r="A38" t="s">
        <v>50</v>
      </c>
      <c r="B38" t="s">
        <v>53</v>
      </c>
      <c r="C38">
        <v>3</v>
      </c>
      <c r="D38" t="s">
        <v>54</v>
      </c>
      <c r="E38" s="5"/>
    </row>
    <row r="39" spans="1:10" x14ac:dyDescent="0.25">
      <c r="A39" t="s">
        <v>51</v>
      </c>
      <c r="B39" t="s">
        <v>53</v>
      </c>
      <c r="C39" s="5">
        <f>C36/C38</f>
        <v>3.4866801976090844</v>
      </c>
    </row>
    <row r="40" spans="1:10" x14ac:dyDescent="0.25">
      <c r="A40" t="s">
        <v>52</v>
      </c>
      <c r="B40" t="s">
        <v>53</v>
      </c>
      <c r="C40" s="5">
        <f>C35/C39</f>
        <v>4.8756980957580742</v>
      </c>
      <c r="D40" t="s">
        <v>54</v>
      </c>
    </row>
  </sheetData>
  <mergeCells count="2">
    <mergeCell ref="A2:B2"/>
    <mergeCell ref="A3:B3"/>
  </mergeCells>
  <pageMargins left="0.7" right="0.7" top="0.75" bottom="0.75" header="0.3" footer="0.3"/>
  <pageSetup paperSize="9" orientation="portrait" horizontalDpi="0" verticalDpi="0" r:id="rId1"/>
  <ignoredErrors>
    <ignoredError sqref="F7" evalError="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Grizli777</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lenovo</cp:lastModifiedBy>
  <dcterms:created xsi:type="dcterms:W3CDTF">2021-04-23T14:56:56Z</dcterms:created>
  <dcterms:modified xsi:type="dcterms:W3CDTF">2021-04-25T10:37:45Z</dcterms:modified>
</cp:coreProperties>
</file>