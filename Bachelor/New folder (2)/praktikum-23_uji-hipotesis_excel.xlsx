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D:\Kuliah\Data statistika\Praktikum Ganjil 2019\2&amp;3\"/>
    </mc:Choice>
  </mc:AlternateContent>
  <xr:revisionPtr revIDLastSave="0" documentId="13_ncr:1_{071BC254-6314-4BC9-998C-6CB2EC6B8422}" xr6:coauthVersionLast="44" xr6:coauthVersionMax="44" xr10:uidLastSave="{00000000-0000-0000-0000-000000000000}"/>
  <bookViews>
    <workbookView xWindow="-120" yWindow="-120" windowWidth="20730" windowHeight="11160" activeTab="2" xr2:uid="{00000000-000D-0000-FFFF-FFFF00000000}"/>
  </bookViews>
  <sheets>
    <sheet name="1 Populasi" sheetId="1" r:id="rId1"/>
    <sheet name="Tugas 2" sheetId="2" r:id="rId2"/>
    <sheet name="2 Populasi" sheetId="3" r:id="rId3"/>
    <sheet name="Tugas 3" sheetId="4" r:id="rId4"/>
  </sheets>
  <definedNames>
    <definedName name="_xlnm._FilterDatabase" localSheetId="1" hidden="1">'Tugas 2'!$C$1:$C$248</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248" i="3" l="1"/>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F26" i="4"/>
  <c r="F25" i="4"/>
  <c r="F24" i="4"/>
  <c r="F23" i="4"/>
  <c r="F22" i="4"/>
  <c r="F21" i="4"/>
  <c r="F20" i="4"/>
  <c r="F19" i="4"/>
  <c r="F18" i="4"/>
  <c r="F17" i="4"/>
  <c r="F16" i="4"/>
  <c r="F15" i="4"/>
  <c r="F14" i="4"/>
  <c r="F13" i="4"/>
  <c r="F12" i="4"/>
  <c r="F11" i="4"/>
  <c r="F10" i="4"/>
  <c r="F9" i="4"/>
  <c r="F8" i="4"/>
  <c r="F7" i="4"/>
  <c r="F6" i="4"/>
  <c r="F5" i="4"/>
  <c r="F4" i="4"/>
  <c r="F3" i="4"/>
  <c r="F2" i="4"/>
  <c r="Q21" i="3"/>
  <c r="Q20" i="3"/>
  <c r="Q19" i="3"/>
  <c r="Q18" i="3"/>
  <c r="Q17" i="3"/>
  <c r="Q16" i="3"/>
  <c r="Q15" i="3"/>
  <c r="Q14" i="3"/>
  <c r="Q13" i="3"/>
  <c r="Q12" i="3"/>
  <c r="Q11" i="3"/>
  <c r="Q10" i="3"/>
  <c r="Q9" i="3"/>
  <c r="Q8" i="3"/>
  <c r="Q7" i="3"/>
  <c r="Q6" i="3"/>
  <c r="Q5" i="3"/>
  <c r="Q4" i="3"/>
  <c r="Q3" i="3"/>
  <c r="Q2" i="3"/>
  <c r="B80" i="1" l="1"/>
  <c r="B79" i="1"/>
  <c r="B78" i="1"/>
  <c r="B43" i="1"/>
  <c r="B77" i="1"/>
  <c r="B76" i="1"/>
  <c r="B42" i="1"/>
  <c r="B41" i="1"/>
  <c r="B75" i="1"/>
  <c r="B74" i="1"/>
  <c r="B73" i="1"/>
  <c r="B72" i="1"/>
  <c r="B40" i="1"/>
  <c r="B39" i="1"/>
  <c r="B71" i="1"/>
  <c r="B38" i="1"/>
  <c r="B37" i="1"/>
  <c r="B36" i="1"/>
  <c r="B70" i="1"/>
  <c r="B69" i="1"/>
  <c r="B68" i="1"/>
  <c r="B35" i="1"/>
  <c r="B67" i="1"/>
  <c r="B34" i="1"/>
  <c r="B33" i="1"/>
  <c r="B32" i="1"/>
  <c r="B31" i="1"/>
  <c r="B30" i="1"/>
  <c r="B66" i="1"/>
  <c r="B65" i="1"/>
  <c r="B64" i="1"/>
  <c r="B29" i="1"/>
  <c r="B63" i="1"/>
  <c r="B28" i="1"/>
  <c r="B62" i="1"/>
  <c r="B61" i="1"/>
  <c r="B60" i="1"/>
  <c r="B27" i="1"/>
  <c r="B26" i="1"/>
  <c r="B59" i="1"/>
  <c r="B25" i="1"/>
  <c r="B24" i="1"/>
  <c r="B23" i="1"/>
  <c r="B22" i="1"/>
  <c r="B21" i="1"/>
  <c r="B20" i="1"/>
  <c r="B58" i="1"/>
  <c r="B19" i="1"/>
  <c r="B18" i="1"/>
  <c r="B17" i="1"/>
  <c r="B16" i="1"/>
  <c r="B15" i="1"/>
  <c r="B14" i="1"/>
  <c r="B13" i="1"/>
  <c r="B12" i="1"/>
  <c r="B11" i="1"/>
  <c r="B57" i="1"/>
  <c r="B56" i="1"/>
  <c r="B55" i="1"/>
  <c r="B54" i="1"/>
  <c r="B53" i="1"/>
  <c r="B10" i="1"/>
  <c r="B9" i="1"/>
  <c r="B8" i="1"/>
  <c r="B52" i="1"/>
  <c r="B7" i="1"/>
  <c r="B51" i="1"/>
  <c r="B6" i="1"/>
  <c r="B50" i="1"/>
  <c r="B5" i="1"/>
  <c r="B4" i="1"/>
  <c r="B49" i="1"/>
  <c r="B3" i="1"/>
  <c r="B48" i="1"/>
  <c r="B47" i="1"/>
  <c r="B46" i="1"/>
  <c r="B45" i="1"/>
  <c r="B2" i="1"/>
  <c r="B44" i="1"/>
</calcChain>
</file>

<file path=xl/sharedStrings.xml><?xml version="1.0" encoding="utf-8"?>
<sst xmlns="http://schemas.openxmlformats.org/spreadsheetml/2006/main" count="98" uniqueCount="20">
  <si>
    <t>SiteID</t>
  </si>
  <si>
    <t>Site</t>
  </si>
  <si>
    <t>SpcID</t>
  </si>
  <si>
    <t>W</t>
  </si>
  <si>
    <t>JK</t>
  </si>
  <si>
    <t>Jenis Ikan</t>
  </si>
  <si>
    <t>Lemuru</t>
  </si>
  <si>
    <t>1 : Jantan</t>
  </si>
  <si>
    <t>0 : Betina</t>
  </si>
  <si>
    <t xml:space="preserve">UNPAIRED T-Test </t>
  </si>
  <si>
    <t>SL</t>
  </si>
  <si>
    <t>PAIRED T-Test</t>
  </si>
  <si>
    <t>W1</t>
  </si>
  <si>
    <t>W2</t>
  </si>
  <si>
    <t>ln (SL)</t>
  </si>
  <si>
    <t>SL1</t>
  </si>
  <si>
    <t>SL2</t>
  </si>
  <si>
    <t>Pantai Sidem</t>
  </si>
  <si>
    <t>Pasumpahan</t>
  </si>
  <si>
    <t>Pantai Siupah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</si>
</sst>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00000"/>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color theme="1"/>
      <name val="Arial"/>
      <family val="2"/>
    </font>
    <font>
      <sz val="11"/>
      <name val="Arial"/>
      <family val="2"/>
    </font>
    <font>
      <sz val="11"/>
      <color theme="1"/>
      <name val="Arial"/>
      <family val="2"/>
    </font>
    <font>
      <sz val="11"/>
      <color rgb="FFFF000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36">
    <xf numFmtId="0" fontId="0" fillId="0" borderId="0" xfId="0"/>
    <xf numFmtId="1" fontId="3" fillId="0" borderId="0" xfId="0" applyNumberFormat="1" applyFont="1" applyFill="1"/>
    <xf numFmtId="43" fontId="3" fillId="0" borderId="0" xfId="1" applyNumberFormat="1" applyFont="1" applyFill="1" applyAlignment="1">
      <alignment horizontal="center"/>
    </xf>
    <xf numFmtId="2" fontId="3" fillId="0" borderId="0" xfId="1" applyNumberFormat="1" applyFont="1" applyFill="1" applyAlignment="1">
      <alignment horizontal="right"/>
    </xf>
    <xf numFmtId="0" fontId="2" fillId="0" borderId="0" xfId="0" applyFont="1" applyFill="1" applyBorder="1" applyAlignment="1">
      <alignment horizontal="center" vertical="center"/>
    </xf>
    <xf numFmtId="0" fontId="0" fillId="0" borderId="0" xfId="0" applyAlignment="1">
      <alignment wrapText="1"/>
    </xf>
    <xf numFmtId="2" fontId="0" fillId="0" borderId="0" xfId="0" applyNumberFormat="1"/>
    <xf numFmtId="0" fontId="4" fillId="0" borderId="0" xfId="0" applyFont="1" applyBorder="1" applyAlignment="1">
      <alignment horizontal="center" vertical="center"/>
    </xf>
    <xf numFmtId="1" fontId="5" fillId="0" borderId="0" xfId="0" applyNumberFormat="1" applyFont="1" applyFill="1"/>
    <xf numFmtId="0" fontId="6" fillId="0" borderId="0" xfId="0" applyFont="1"/>
    <xf numFmtId="0" fontId="4" fillId="0" borderId="0" xfId="0" applyFont="1" applyAlignment="1">
      <alignment horizontal="center"/>
    </xf>
    <xf numFmtId="0" fontId="6" fillId="0" borderId="0" xfId="0" applyFont="1" applyBorder="1"/>
    <xf numFmtId="2" fontId="6" fillId="0" borderId="0" xfId="0" applyNumberFormat="1" applyFont="1" applyFill="1" applyBorder="1"/>
    <xf numFmtId="1" fontId="6" fillId="0" borderId="0" xfId="0" applyNumberFormat="1" applyFont="1" applyBorder="1"/>
    <xf numFmtId="0" fontId="6" fillId="0" borderId="0" xfId="0" applyFont="1" applyFill="1" applyBorder="1" applyAlignment="1">
      <alignment horizontal="right"/>
    </xf>
    <xf numFmtId="2" fontId="6" fillId="0" borderId="0" xfId="0" applyNumberFormat="1" applyFont="1" applyFill="1" applyBorder="1" applyAlignment="1">
      <alignment horizontal="right"/>
    </xf>
    <xf numFmtId="0" fontId="7" fillId="2" borderId="0" xfId="0" applyFont="1" applyFill="1" applyAlignment="1"/>
    <xf numFmtId="0" fontId="4" fillId="3" borderId="0" xfId="0" applyFont="1" applyFill="1"/>
    <xf numFmtId="0" fontId="4" fillId="0" borderId="0" xfId="0" applyFont="1" applyAlignment="1">
      <alignment horizontal="center" vertical="center"/>
    </xf>
    <xf numFmtId="0" fontId="4" fillId="3" borderId="0" xfId="0" applyFont="1" applyFill="1" applyAlignment="1">
      <alignment horizontal="left" vertical="center"/>
    </xf>
    <xf numFmtId="0" fontId="4" fillId="0" borderId="0" xfId="0" applyFont="1"/>
    <xf numFmtId="2" fontId="6" fillId="0" borderId="0" xfId="0" applyNumberFormat="1" applyFont="1"/>
    <xf numFmtId="164" fontId="6" fillId="0" borderId="0" xfId="0" applyNumberFormat="1" applyFont="1"/>
    <xf numFmtId="0" fontId="6" fillId="0" borderId="0" xfId="0" applyFont="1" applyAlignment="1">
      <alignment horizontal="right"/>
    </xf>
    <xf numFmtId="2" fontId="6" fillId="0" borderId="0" xfId="0" applyNumberFormat="1" applyFont="1" applyAlignment="1">
      <alignment horizontal="right"/>
    </xf>
    <xf numFmtId="1" fontId="5" fillId="0" borderId="0" xfId="0" applyNumberFormat="1" applyFont="1"/>
    <xf numFmtId="165" fontId="5" fillId="0" borderId="0" xfId="1" applyNumberFormat="1" applyFont="1"/>
    <xf numFmtId="43" fontId="5" fillId="0" borderId="0" xfId="1" applyFont="1"/>
    <xf numFmtId="0" fontId="5" fillId="0" borderId="0" xfId="0" applyFont="1"/>
    <xf numFmtId="43" fontId="5" fillId="0" borderId="0" xfId="1" applyFont="1" applyAlignment="1">
      <alignment horizontal="center"/>
    </xf>
    <xf numFmtId="166" fontId="6" fillId="0" borderId="0" xfId="0" applyNumberFormat="1" applyFont="1"/>
    <xf numFmtId="0" fontId="4" fillId="3" borderId="0" xfId="0" applyFont="1" applyFill="1" applyAlignment="1">
      <alignment horizontal="left" vertical="center"/>
    </xf>
    <xf numFmtId="0" fontId="6" fillId="0" borderId="0" xfId="0" applyFont="1" applyAlignment="1">
      <alignment vertical="center"/>
    </xf>
    <xf numFmtId="167" fontId="6" fillId="0" borderId="0" xfId="0" applyNumberFormat="1" applyFont="1"/>
    <xf numFmtId="165" fontId="6" fillId="0" borderId="0" xfId="0" applyNumberFormat="1" applyFont="1"/>
    <xf numFmtId="2" fontId="5" fillId="0" borderId="0" xfId="1" applyNumberFormat="1"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6</xdr:col>
      <xdr:colOff>33338</xdr:colOff>
      <xdr:row>1</xdr:row>
      <xdr:rowOff>26194</xdr:rowOff>
    </xdr:from>
    <xdr:to>
      <xdr:col>6</xdr:col>
      <xdr:colOff>3800475</xdr:colOff>
      <xdr:row>14</xdr:row>
      <xdr:rowOff>111919</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4043363" y="216694"/>
          <a:ext cx="3767137" cy="2562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id-ID" sz="1100">
              <a:latin typeface="Arial" panose="020B0604020202020204" pitchFamily="34" charset="0"/>
              <a:cs typeface="Arial" panose="020B0604020202020204" pitchFamily="34" charset="0"/>
            </a:rPr>
            <a:t>1) Di wilaya</a:t>
          </a:r>
          <a:r>
            <a:rPr lang="id-ID" sz="1100" baseline="0">
              <a:latin typeface="Arial" panose="020B0604020202020204" pitchFamily="34" charset="0"/>
              <a:cs typeface="Arial" panose="020B0604020202020204" pitchFamily="34" charset="0"/>
            </a:rPr>
            <a:t>h </a:t>
          </a:r>
          <a:r>
            <a:rPr lang="id-ID" sz="1100">
              <a:latin typeface="Arial" panose="020B0604020202020204" pitchFamily="34" charset="0"/>
              <a:cs typeface="Arial" panose="020B0604020202020204" pitchFamily="34" charset="0"/>
            </a:rPr>
            <a:t>Gelondonggede terdapat</a:t>
          </a:r>
          <a:r>
            <a:rPr lang="id-ID" sz="1100" baseline="0">
              <a:latin typeface="Arial" panose="020B0604020202020204" pitchFamily="34" charset="0"/>
              <a:cs typeface="Arial" panose="020B0604020202020204" pitchFamily="34" charset="0"/>
            </a:rPr>
            <a:t> spesies ikan</a:t>
          </a:r>
          <a:r>
            <a:rPr lang="en-US" sz="1100" baseline="0">
              <a:latin typeface="Arial" panose="020B0604020202020204" pitchFamily="34" charset="0"/>
              <a:cs typeface="Arial" panose="020B0604020202020204" pitchFamily="34" charset="0"/>
            </a:rPr>
            <a:t> </a:t>
          </a:r>
          <a:r>
            <a:rPr lang="id-ID" sz="1100" baseline="0">
              <a:latin typeface="Arial" panose="020B0604020202020204" pitchFamily="34" charset="0"/>
              <a:cs typeface="Arial" panose="020B0604020202020204" pitchFamily="34" charset="0"/>
            </a:rPr>
            <a:t>Tambakan </a:t>
          </a:r>
          <a:r>
            <a:rPr lang="id-ID" sz="1100">
              <a:latin typeface="Arial" panose="020B0604020202020204" pitchFamily="34" charset="0"/>
              <a:cs typeface="Arial" panose="020B0604020202020204" pitchFamily="34" charset="0"/>
            </a:rPr>
            <a:t>dengan total 79 ekor. Peneliti menemukan data berat spesies sebelumnya dengan rata-rata 10 gram. Apakah ada alasan untuk meragukan bahwa rata-rata berat spesies ikan yang sekarang sama dengan 10 gram pada taraf signifikan 5%?</a:t>
          </a:r>
        </a:p>
        <a:p>
          <a:pPr algn="l"/>
          <a:endParaRPr lang="id-ID" sz="1100">
            <a:latin typeface="Arial" panose="020B0604020202020204" pitchFamily="34" charset="0"/>
            <a:cs typeface="Arial" panose="020B0604020202020204" pitchFamily="34" charset="0"/>
          </a:endParaRPr>
        </a:p>
        <a:p>
          <a:pPr algn="l"/>
          <a:r>
            <a:rPr lang="id-ID" sz="1100">
              <a:latin typeface="Arial" panose="020B0604020202020204" pitchFamily="34" charset="0"/>
              <a:cs typeface="Arial" panose="020B0604020202020204" pitchFamily="34" charset="0"/>
            </a:rPr>
            <a:t>2) Di wilayah Gelondonggede terdapat spesies</a:t>
          </a:r>
          <a:r>
            <a:rPr lang="id-ID" sz="1100" baseline="0">
              <a:latin typeface="Arial" panose="020B0604020202020204" pitchFamily="34" charset="0"/>
              <a:cs typeface="Arial" panose="020B0604020202020204" pitchFamily="34" charset="0"/>
            </a:rPr>
            <a:t> ikan Tambakan </a:t>
          </a:r>
          <a:r>
            <a:rPr lang="id-ID" sz="1100">
              <a:latin typeface="Arial" panose="020B0604020202020204" pitchFamily="34" charset="0"/>
              <a:cs typeface="Arial" panose="020B0604020202020204" pitchFamily="34" charset="0"/>
            </a:rPr>
            <a:t>dengan total 79 ekor dengan</a:t>
          </a:r>
          <a:r>
            <a:rPr lang="id-ID" sz="1100" baseline="0">
              <a:latin typeface="Arial" panose="020B0604020202020204" pitchFamily="34" charset="0"/>
              <a:cs typeface="Arial" panose="020B0604020202020204" pitchFamily="34" charset="0"/>
            </a:rPr>
            <a:t> proporsi sex ratio yang berbeda. Peneliti meyakini bahwa proporsi jantan lebih b</a:t>
          </a:r>
          <a:r>
            <a:rPr lang="en-US" sz="1100" baseline="0">
              <a:latin typeface="Arial" panose="020B0604020202020204" pitchFamily="34" charset="0"/>
              <a:cs typeface="Arial" panose="020B0604020202020204" pitchFamily="34" charset="0"/>
            </a:rPr>
            <a:t>esar sama dengan</a:t>
          </a:r>
          <a:r>
            <a:rPr lang="id-ID" sz="1100" baseline="0">
              <a:latin typeface="Arial" panose="020B0604020202020204" pitchFamily="34" charset="0"/>
              <a:cs typeface="Arial" panose="020B0604020202020204" pitchFamily="34" charset="0"/>
            </a:rPr>
            <a:t> </a:t>
          </a:r>
          <a:r>
            <a:rPr lang="en-US" sz="1100" baseline="0">
              <a:latin typeface="Arial" panose="020B0604020202020204" pitchFamily="34" charset="0"/>
              <a:cs typeface="Arial" panose="020B0604020202020204" pitchFamily="34" charset="0"/>
            </a:rPr>
            <a:t>proporsi </a:t>
          </a:r>
          <a:r>
            <a:rPr lang="id-ID" sz="1100" baseline="0">
              <a:latin typeface="Arial" panose="020B0604020202020204" pitchFamily="34" charset="0"/>
              <a:cs typeface="Arial" panose="020B0604020202020204" pitchFamily="34" charset="0"/>
            </a:rPr>
            <a:t>betina, tetapi belum ada bukti nyata untuk kebenarannya. Apakah hipotesis peneliti tersebut benar atau tidak pada taraf signifikan 5%?</a:t>
          </a:r>
          <a:endParaRPr lang="id-ID" sz="1100">
            <a:latin typeface="Arial" panose="020B0604020202020204" pitchFamily="34" charset="0"/>
            <a:cs typeface="Arial" panose="020B0604020202020204" pitchFamily="34" charset="0"/>
          </a:endParaRPr>
        </a:p>
      </xdr:txBody>
    </xdr:sp>
    <xdr:clientData/>
  </xdr:twoCellAnchor>
  <xdr:twoCellAnchor>
    <xdr:from>
      <xdr:col>6</xdr:col>
      <xdr:colOff>3904193</xdr:colOff>
      <xdr:row>1</xdr:row>
      <xdr:rowOff>28048</xdr:rowOff>
    </xdr:from>
    <xdr:to>
      <xdr:col>15</xdr:col>
      <xdr:colOff>1</xdr:colOff>
      <xdr:row>19</xdr:row>
      <xdr:rowOff>185210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7925860" y="218548"/>
          <a:ext cx="5514974" cy="358616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00" b="1" u="sng">
              <a:latin typeface="Arial" panose="020B0604020202020204" pitchFamily="34" charset="0"/>
              <a:cs typeface="Arial" panose="020B0604020202020204" pitchFamily="34" charset="0"/>
            </a:rPr>
            <a:t>HIPOTESIS SOAL 1:</a:t>
          </a:r>
        </a:p>
        <a:p>
          <a:pPr marL="0" marR="0" indent="0" algn="l" defTabSz="914400" eaLnBrk="1" fontAlgn="auto" latinLnBrk="0" hangingPunct="1">
            <a:lnSpc>
              <a:spcPct val="100000"/>
            </a:lnSpc>
            <a:spcBef>
              <a:spcPts val="0"/>
            </a:spcBef>
            <a:spcAft>
              <a:spcPts val="0"/>
            </a:spcAft>
            <a:buClrTx/>
            <a:buSzTx/>
            <a:buFontTx/>
            <a:buNone/>
            <a:tabLst/>
            <a:defRPr/>
          </a:pPr>
          <a:endParaRPr lang="en-US" sz="14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400">
              <a:latin typeface="Arial" panose="020B0604020202020204" pitchFamily="34" charset="0"/>
              <a:cs typeface="Arial" panose="020B0604020202020204" pitchFamily="34" charset="0"/>
            </a:rPr>
            <a:t>H0: </a:t>
          </a:r>
        </a:p>
        <a:p>
          <a:pPr marL="0" marR="0" indent="0" algn="l" defTabSz="914400" eaLnBrk="1" fontAlgn="auto" latinLnBrk="0" hangingPunct="1">
            <a:lnSpc>
              <a:spcPct val="100000"/>
            </a:lnSpc>
            <a:spcBef>
              <a:spcPts val="0"/>
            </a:spcBef>
            <a:spcAft>
              <a:spcPts val="0"/>
            </a:spcAft>
            <a:buClrTx/>
            <a:buSzTx/>
            <a:buFontTx/>
            <a:buNone/>
            <a:tabLst/>
            <a:defRPr/>
          </a:pPr>
          <a:r>
            <a:rPr lang="en-US" sz="1400">
              <a:latin typeface="Arial" panose="020B0604020202020204" pitchFamily="34" charset="0"/>
              <a:cs typeface="Arial" panose="020B0604020202020204" pitchFamily="34" charset="0"/>
            </a:rPr>
            <a:t>H1: </a:t>
          </a:r>
        </a:p>
        <a:p>
          <a:pPr marL="0" marR="0" indent="0" algn="l" defTabSz="914400" eaLnBrk="1" fontAlgn="auto" latinLnBrk="0" hangingPunct="1">
            <a:lnSpc>
              <a:spcPct val="100000"/>
            </a:lnSpc>
            <a:spcBef>
              <a:spcPts val="0"/>
            </a:spcBef>
            <a:spcAft>
              <a:spcPts val="0"/>
            </a:spcAft>
            <a:buClrTx/>
            <a:buSzTx/>
            <a:buFontTx/>
            <a:buNone/>
            <a:tabLst/>
            <a:defRPr/>
          </a:pPr>
          <a:endParaRPr lang="en-US" sz="14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en-US" sz="14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en-US" sz="14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en-US" sz="14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400" b="1" u="sng">
              <a:latin typeface="Arial" panose="020B0604020202020204" pitchFamily="34" charset="0"/>
              <a:cs typeface="Arial" panose="020B0604020202020204" pitchFamily="34" charset="0"/>
            </a:rPr>
            <a:t>HIPOTESIS</a:t>
          </a:r>
          <a:r>
            <a:rPr lang="en-US" sz="1400" b="1" u="sng" baseline="0">
              <a:latin typeface="Arial" panose="020B0604020202020204" pitchFamily="34" charset="0"/>
              <a:cs typeface="Arial" panose="020B0604020202020204" pitchFamily="34" charset="0"/>
            </a:rPr>
            <a:t> SOAL 2:</a:t>
          </a:r>
        </a:p>
        <a:p>
          <a:pPr marL="0" marR="0" indent="0" algn="l" defTabSz="914400" eaLnBrk="1" fontAlgn="auto" latinLnBrk="0" hangingPunct="1">
            <a:lnSpc>
              <a:spcPct val="100000"/>
            </a:lnSpc>
            <a:spcBef>
              <a:spcPts val="0"/>
            </a:spcBef>
            <a:spcAft>
              <a:spcPts val="0"/>
            </a:spcAft>
            <a:buClrTx/>
            <a:buSzTx/>
            <a:buFontTx/>
            <a:buNone/>
            <a:tabLst/>
            <a:defRPr/>
          </a:pPr>
          <a:endParaRPr lang="en-US" sz="1400" baseline="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400" baseline="0">
              <a:latin typeface="Arial" panose="020B0604020202020204" pitchFamily="34" charset="0"/>
              <a:cs typeface="Arial" panose="020B0604020202020204" pitchFamily="34" charset="0"/>
            </a:rPr>
            <a:t>H0: </a:t>
          </a:r>
        </a:p>
        <a:p>
          <a:pPr marL="0" marR="0" indent="0" algn="l" defTabSz="914400" eaLnBrk="1" fontAlgn="auto" latinLnBrk="0" hangingPunct="1">
            <a:lnSpc>
              <a:spcPct val="100000"/>
            </a:lnSpc>
            <a:spcBef>
              <a:spcPts val="0"/>
            </a:spcBef>
            <a:spcAft>
              <a:spcPts val="0"/>
            </a:spcAft>
            <a:buClrTx/>
            <a:buSzTx/>
            <a:buFontTx/>
            <a:buNone/>
            <a:tabLst/>
            <a:defRPr/>
          </a:pPr>
          <a:r>
            <a:rPr lang="en-US" sz="1400" baseline="0">
              <a:latin typeface="Arial" panose="020B0604020202020204" pitchFamily="34" charset="0"/>
              <a:cs typeface="Arial" panose="020B0604020202020204" pitchFamily="34" charset="0"/>
            </a:rPr>
            <a:t>H1: </a:t>
          </a:r>
          <a:endParaRPr lang="id-ID" sz="14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54428</xdr:colOff>
      <xdr:row>1</xdr:row>
      <xdr:rowOff>47772</xdr:rowOff>
    </xdr:from>
    <xdr:to>
      <xdr:col>9</xdr:col>
      <xdr:colOff>486833</xdr:colOff>
      <xdr:row>16</xdr:row>
      <xdr:rowOff>57297</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647345" y="238272"/>
          <a:ext cx="3776738" cy="2867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1100">
              <a:latin typeface="Arial" panose="020B0604020202020204" pitchFamily="34" charset="0"/>
              <a:cs typeface="Arial" panose="020B0604020202020204" pitchFamily="34" charset="0"/>
            </a:rPr>
            <a:t>1) </a:t>
          </a:r>
          <a:r>
            <a:rPr lang="en-US" sz="1100">
              <a:latin typeface="Arial" panose="020B0604020202020204" pitchFamily="34" charset="0"/>
              <a:cs typeface="Arial" panose="020B0604020202020204" pitchFamily="34" charset="0"/>
            </a:rPr>
            <a:t>Nelayan</a:t>
          </a:r>
          <a:r>
            <a:rPr lang="en-US" sz="1100" baseline="0">
              <a:latin typeface="Arial" panose="020B0604020202020204" pitchFamily="34" charset="0"/>
              <a:cs typeface="Arial" panose="020B0604020202020204" pitchFamily="34" charset="0"/>
            </a:rPr>
            <a:t> di wilayah Mayangan mampu menangkap ikan </a:t>
          </a:r>
          <a:r>
            <a:rPr lang="id-ID" sz="1100" baseline="0">
              <a:latin typeface="Arial" panose="020B0604020202020204" pitchFamily="34" charset="0"/>
              <a:cs typeface="Arial" panose="020B0604020202020204" pitchFamily="34" charset="0"/>
            </a:rPr>
            <a:t>Lemuru </a:t>
          </a:r>
          <a:r>
            <a:rPr lang="id-ID" sz="1100">
              <a:latin typeface="Arial" panose="020B0604020202020204" pitchFamily="34" charset="0"/>
              <a:cs typeface="Arial" panose="020B0604020202020204" pitchFamily="34" charset="0"/>
            </a:rPr>
            <a:t>dengan total </a:t>
          </a:r>
          <a:r>
            <a:rPr lang="en-US" sz="1100">
              <a:latin typeface="Arial" panose="020B0604020202020204" pitchFamily="34" charset="0"/>
              <a:cs typeface="Arial" panose="020B0604020202020204" pitchFamily="34" charset="0"/>
            </a:rPr>
            <a:t>30</a:t>
          </a:r>
          <a:r>
            <a:rPr lang="id-ID" sz="1100">
              <a:latin typeface="Arial" panose="020B0604020202020204" pitchFamily="34" charset="0"/>
              <a:cs typeface="Arial" panose="020B0604020202020204" pitchFamily="34" charset="0"/>
            </a:rPr>
            <a:t> ekor</a:t>
          </a:r>
          <a:r>
            <a:rPr lang="en-US" sz="1100">
              <a:latin typeface="Arial" panose="020B0604020202020204" pitchFamily="34" charset="0"/>
              <a:cs typeface="Arial" panose="020B0604020202020204" pitchFamily="34" charset="0"/>
            </a:rPr>
            <a:t> selama sehari</a:t>
          </a:r>
          <a:r>
            <a:rPr lang="id-ID" sz="1100">
              <a:latin typeface="Arial" panose="020B0604020202020204" pitchFamily="34" charset="0"/>
              <a:cs typeface="Arial" panose="020B0604020202020204" pitchFamily="34" charset="0"/>
            </a:rPr>
            <a:t>. </a:t>
          </a:r>
          <a:r>
            <a:rPr lang="en-US" sz="1100">
              <a:latin typeface="Arial" panose="020B0604020202020204" pitchFamily="34" charset="0"/>
              <a:cs typeface="Arial" panose="020B0604020202020204" pitchFamily="34" charset="0"/>
            </a:rPr>
            <a:t>Ternyata setelah diteliti terdapat</a:t>
          </a:r>
          <a:r>
            <a:rPr lang="id-ID" sz="1100">
              <a:latin typeface="Arial" panose="020B0604020202020204" pitchFamily="34" charset="0"/>
              <a:cs typeface="Arial" panose="020B0604020202020204" pitchFamily="34" charset="0"/>
            </a:rPr>
            <a:t> data berat spesies</a:t>
          </a:r>
          <a:r>
            <a:rPr lang="en-US" sz="1100">
              <a:latin typeface="Arial" panose="020B0604020202020204" pitchFamily="34" charset="0"/>
              <a:cs typeface="Arial" panose="020B0604020202020204" pitchFamily="34" charset="0"/>
            </a:rPr>
            <a:t> ikan</a:t>
          </a:r>
          <a:r>
            <a:rPr lang="id-ID" sz="1100">
              <a:latin typeface="Arial" panose="020B0604020202020204" pitchFamily="34" charset="0"/>
              <a:cs typeface="Arial" panose="020B0604020202020204" pitchFamily="34" charset="0"/>
            </a:rPr>
            <a:t> sebelumnya dengan rata-rata </a:t>
          </a:r>
          <a:r>
            <a:rPr lang="en-US" sz="1100">
              <a:latin typeface="Arial" panose="020B0604020202020204" pitchFamily="34" charset="0"/>
              <a:cs typeface="Arial" panose="020B0604020202020204" pitchFamily="34" charset="0"/>
            </a:rPr>
            <a:t>25</a:t>
          </a:r>
          <a:r>
            <a:rPr lang="id-ID" sz="1100">
              <a:latin typeface="Arial" panose="020B0604020202020204" pitchFamily="34" charset="0"/>
              <a:cs typeface="Arial" panose="020B0604020202020204" pitchFamily="34" charset="0"/>
            </a:rPr>
            <a:t> gram. Apakah ada alasan untuk meragukan bahwa rata-rata berat spesies ikan yang sekarang sama dengan</a:t>
          </a:r>
          <a:r>
            <a:rPr lang="en-US" sz="1100">
              <a:latin typeface="Arial" panose="020B0604020202020204" pitchFamily="34" charset="0"/>
              <a:cs typeface="Arial" panose="020B0604020202020204" pitchFamily="34" charset="0"/>
            </a:rPr>
            <a:t> berat ikan sebelumnya</a:t>
          </a:r>
          <a:r>
            <a:rPr lang="en-US" sz="1100" baseline="0">
              <a:latin typeface="Arial" panose="020B0604020202020204" pitchFamily="34" charset="0"/>
              <a:cs typeface="Arial" panose="020B0604020202020204" pitchFamily="34" charset="0"/>
            </a:rPr>
            <a:t> </a:t>
          </a:r>
          <a:r>
            <a:rPr lang="id-ID" sz="1100">
              <a:latin typeface="Arial" panose="020B0604020202020204" pitchFamily="34" charset="0"/>
              <a:cs typeface="Arial" panose="020B0604020202020204" pitchFamily="34" charset="0"/>
            </a:rPr>
            <a:t>pada taraf signifikan 5%?</a:t>
          </a:r>
        </a:p>
        <a:p>
          <a:pPr algn="l"/>
          <a:endParaRPr lang="id-ID" sz="1100">
            <a:latin typeface="Arial" panose="020B0604020202020204" pitchFamily="34" charset="0"/>
            <a:cs typeface="Arial" panose="020B0604020202020204" pitchFamily="34" charset="0"/>
          </a:endParaRPr>
        </a:p>
        <a:p>
          <a:pPr algn="l"/>
          <a:r>
            <a:rPr lang="id-ID" sz="1100">
              <a:latin typeface="Arial" panose="020B0604020202020204" pitchFamily="34" charset="0"/>
              <a:cs typeface="Arial" panose="020B0604020202020204" pitchFamily="34" charset="0"/>
            </a:rPr>
            <a:t>2) Nelayan di wilayah Mayangan mampu menangkap ikan Lemuru dengan total </a:t>
          </a:r>
          <a:r>
            <a:rPr lang="en-US" sz="1100">
              <a:latin typeface="Arial" panose="020B0604020202020204" pitchFamily="34" charset="0"/>
              <a:cs typeface="Arial" panose="020B0604020202020204" pitchFamily="34" charset="0"/>
            </a:rPr>
            <a:t>30</a:t>
          </a:r>
          <a:r>
            <a:rPr lang="id-ID" sz="1100">
              <a:latin typeface="Arial" panose="020B0604020202020204" pitchFamily="34" charset="0"/>
              <a:cs typeface="Arial" panose="020B0604020202020204" pitchFamily="34" charset="0"/>
            </a:rPr>
            <a:t> ekor selama sehari</a:t>
          </a:r>
          <a:r>
            <a:rPr lang="en-US" sz="1100">
              <a:latin typeface="Arial" panose="020B0604020202020204" pitchFamily="34" charset="0"/>
              <a:cs typeface="Arial" panose="020B0604020202020204" pitchFamily="34" charset="0"/>
            </a:rPr>
            <a:t> </a:t>
          </a:r>
          <a:r>
            <a:rPr lang="id-ID" sz="1100">
              <a:latin typeface="Arial" panose="020B0604020202020204" pitchFamily="34" charset="0"/>
              <a:cs typeface="Arial" panose="020B0604020202020204" pitchFamily="34" charset="0"/>
            </a:rPr>
            <a:t>dengan</a:t>
          </a:r>
          <a:r>
            <a:rPr lang="id-ID" sz="1100" baseline="0">
              <a:latin typeface="Arial" panose="020B0604020202020204" pitchFamily="34" charset="0"/>
              <a:cs typeface="Arial" panose="020B0604020202020204" pitchFamily="34" charset="0"/>
            </a:rPr>
            <a:t> proporsi sex ratio yang berbeda. Peneliti meyakini bahwa proporsi jantan lebih banyak daripada betina, tetapi belum ada bukti nyata untuk kebenarannya. Apakah hipotesis peneliti tersebut benar atau tidak pada taraf signifikan 5%?</a:t>
          </a:r>
          <a:endParaRPr lang="id-ID" sz="1100">
            <a:latin typeface="Arial" panose="020B0604020202020204" pitchFamily="34" charset="0"/>
            <a:cs typeface="Arial" panose="020B0604020202020204" pitchFamily="34" charset="0"/>
          </a:endParaRPr>
        </a:p>
      </xdr:txBody>
    </xdr:sp>
    <xdr:clientData/>
  </xdr:twoCellAnchor>
  <xdr:twoCellAnchor>
    <xdr:from>
      <xdr:col>10</xdr:col>
      <xdr:colOff>105833</xdr:colOff>
      <xdr:row>1</xdr:row>
      <xdr:rowOff>42329</xdr:rowOff>
    </xdr:from>
    <xdr:to>
      <xdr:col>19</xdr:col>
      <xdr:colOff>96307</xdr:colOff>
      <xdr:row>20</xdr:row>
      <xdr:rowOff>8991</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6656916" y="232829"/>
          <a:ext cx="5514974" cy="358616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00" b="1" u="sng">
              <a:latin typeface="Arial" panose="020B0604020202020204" pitchFamily="34" charset="0"/>
              <a:cs typeface="Arial" panose="020B0604020202020204" pitchFamily="34" charset="0"/>
            </a:rPr>
            <a:t>HIPOTESIS SOAL 1:</a:t>
          </a:r>
        </a:p>
        <a:p>
          <a:pPr marL="0" marR="0" indent="0" algn="l" defTabSz="914400" eaLnBrk="1" fontAlgn="auto" latinLnBrk="0" hangingPunct="1">
            <a:lnSpc>
              <a:spcPct val="100000"/>
            </a:lnSpc>
            <a:spcBef>
              <a:spcPts val="0"/>
            </a:spcBef>
            <a:spcAft>
              <a:spcPts val="0"/>
            </a:spcAft>
            <a:buClrTx/>
            <a:buSzTx/>
            <a:buFontTx/>
            <a:buNone/>
            <a:tabLst/>
            <a:defRPr/>
          </a:pPr>
          <a:endParaRPr lang="en-US" sz="14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400">
              <a:latin typeface="Arial" panose="020B0604020202020204" pitchFamily="34" charset="0"/>
              <a:cs typeface="Arial" panose="020B0604020202020204" pitchFamily="34" charset="0"/>
            </a:rPr>
            <a:t>H0:</a:t>
          </a:r>
        </a:p>
        <a:p>
          <a:pPr marL="0" marR="0" indent="0" algn="l" defTabSz="914400" eaLnBrk="1" fontAlgn="auto" latinLnBrk="0" hangingPunct="1">
            <a:lnSpc>
              <a:spcPct val="100000"/>
            </a:lnSpc>
            <a:spcBef>
              <a:spcPts val="0"/>
            </a:spcBef>
            <a:spcAft>
              <a:spcPts val="0"/>
            </a:spcAft>
            <a:buClrTx/>
            <a:buSzTx/>
            <a:buFontTx/>
            <a:buNone/>
            <a:tabLst/>
            <a:defRPr/>
          </a:pPr>
          <a:r>
            <a:rPr lang="en-US" sz="1400">
              <a:latin typeface="Arial" panose="020B0604020202020204" pitchFamily="34" charset="0"/>
              <a:cs typeface="Arial" panose="020B0604020202020204" pitchFamily="34" charset="0"/>
            </a:rPr>
            <a:t>H1:</a:t>
          </a:r>
        </a:p>
        <a:p>
          <a:pPr marL="0" marR="0" indent="0" algn="l" defTabSz="914400" eaLnBrk="1" fontAlgn="auto" latinLnBrk="0" hangingPunct="1">
            <a:lnSpc>
              <a:spcPct val="100000"/>
            </a:lnSpc>
            <a:spcBef>
              <a:spcPts val="0"/>
            </a:spcBef>
            <a:spcAft>
              <a:spcPts val="0"/>
            </a:spcAft>
            <a:buClrTx/>
            <a:buSzTx/>
            <a:buFontTx/>
            <a:buNone/>
            <a:tabLst/>
            <a:defRPr/>
          </a:pPr>
          <a:endParaRPr lang="en-US" sz="14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en-US" sz="14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en-US" sz="14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en-US" sz="14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en-US" sz="14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400" b="1" u="sng">
              <a:latin typeface="Arial" panose="020B0604020202020204" pitchFamily="34" charset="0"/>
              <a:cs typeface="Arial" panose="020B0604020202020204" pitchFamily="34" charset="0"/>
            </a:rPr>
            <a:t>HIPOTESIS</a:t>
          </a:r>
          <a:r>
            <a:rPr lang="en-US" sz="1400" b="1" u="sng" baseline="0">
              <a:latin typeface="Arial" panose="020B0604020202020204" pitchFamily="34" charset="0"/>
              <a:cs typeface="Arial" panose="020B0604020202020204" pitchFamily="34" charset="0"/>
            </a:rPr>
            <a:t> SOAL 2:</a:t>
          </a:r>
        </a:p>
        <a:p>
          <a:pPr marL="0" marR="0" indent="0" algn="l" defTabSz="914400" eaLnBrk="1" fontAlgn="auto" latinLnBrk="0" hangingPunct="1">
            <a:lnSpc>
              <a:spcPct val="100000"/>
            </a:lnSpc>
            <a:spcBef>
              <a:spcPts val="0"/>
            </a:spcBef>
            <a:spcAft>
              <a:spcPts val="0"/>
            </a:spcAft>
            <a:buClrTx/>
            <a:buSzTx/>
            <a:buFontTx/>
            <a:buNone/>
            <a:tabLst/>
            <a:defRPr/>
          </a:pPr>
          <a:endParaRPr lang="en-US" sz="1400" baseline="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400" baseline="0">
              <a:latin typeface="Arial" panose="020B0604020202020204" pitchFamily="34" charset="0"/>
              <a:cs typeface="Arial" panose="020B0604020202020204" pitchFamily="34" charset="0"/>
            </a:rPr>
            <a:t>H0:</a:t>
          </a:r>
        </a:p>
        <a:p>
          <a:pPr marL="0" marR="0" indent="0" algn="l" defTabSz="914400" eaLnBrk="1" fontAlgn="auto" latinLnBrk="0" hangingPunct="1">
            <a:lnSpc>
              <a:spcPct val="100000"/>
            </a:lnSpc>
            <a:spcBef>
              <a:spcPts val="0"/>
            </a:spcBef>
            <a:spcAft>
              <a:spcPts val="0"/>
            </a:spcAft>
            <a:buClrTx/>
            <a:buSzTx/>
            <a:buFontTx/>
            <a:buNone/>
            <a:tabLst/>
            <a:defRPr/>
          </a:pPr>
          <a:r>
            <a:rPr lang="en-US" sz="1400" baseline="0">
              <a:latin typeface="Arial" panose="020B0604020202020204" pitchFamily="34" charset="0"/>
              <a:cs typeface="Arial" panose="020B0604020202020204" pitchFamily="34" charset="0"/>
            </a:rPr>
            <a:t>H1:</a:t>
          </a:r>
          <a:endParaRPr lang="id-ID" sz="14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238127</xdr:colOff>
      <xdr:row>1</xdr:row>
      <xdr:rowOff>83344</xdr:rowOff>
    </xdr:from>
    <xdr:to>
      <xdr:col>12</xdr:col>
      <xdr:colOff>452437</xdr:colOff>
      <xdr:row>12</xdr:row>
      <xdr:rowOff>23813</xdr:rowOff>
    </xdr:to>
    <xdr:sp macro="" textlink="">
      <xdr:nvSpPr>
        <xdr:cNvPr id="2" name="TextBox 1">
          <a:extLst>
            <a:ext uri="{FF2B5EF4-FFF2-40B4-BE49-F238E27FC236}">
              <a16:creationId xmlns:a16="http://schemas.microsoft.com/office/drawing/2014/main" id="{0E834447-EEB0-4E8A-BFCF-0173B6EB5A67}"/>
            </a:ext>
          </a:extLst>
        </xdr:cNvPr>
        <xdr:cNvSpPr txBox="1"/>
      </xdr:nvSpPr>
      <xdr:spPr>
        <a:xfrm>
          <a:off x="4914902" y="273844"/>
          <a:ext cx="3262310" cy="19311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latin typeface="Arial" pitchFamily="34" charset="0"/>
              <a:cs typeface="Arial" pitchFamily="34" charset="0"/>
            </a:rPr>
            <a:t>Soal:</a:t>
          </a:r>
        </a:p>
        <a:p>
          <a:r>
            <a:rPr lang="en-US" sz="1100" u="none">
              <a:latin typeface="Arial" pitchFamily="34" charset="0"/>
              <a:cs typeface="Arial" pitchFamily="34" charset="0"/>
            </a:rPr>
            <a:t>1. Suatu penelitian panjang dan berat ikan hasil tangkapan yang dilakukan di</a:t>
          </a:r>
          <a:r>
            <a:rPr lang="en-US" sz="1100" u="none" baseline="0">
              <a:latin typeface="Arial" pitchFamily="34" charset="0"/>
              <a:cs typeface="Arial" pitchFamily="34" charset="0"/>
            </a:rPr>
            <a:t> daerah Gelondonggede dan Brondong didapatkan hasil seperti </a:t>
          </a:r>
          <a:r>
            <a:rPr lang="en-US" sz="1100" u="none">
              <a:latin typeface="Arial" pitchFamily="34" charset="0"/>
              <a:cs typeface="Arial" pitchFamily="34" charset="0"/>
            </a:rPr>
            <a:t> yang</a:t>
          </a:r>
          <a:r>
            <a:rPr lang="en-US" sz="1100" u="none" baseline="0">
              <a:latin typeface="Arial" pitchFamily="34" charset="0"/>
              <a:cs typeface="Arial" pitchFamily="34" charset="0"/>
            </a:rPr>
            <a:t> ditunjukkan pada data Unpaired T-Test. Pada penelitian tersebut peneliti berhipotesis bahwa berat rata-rata ikan pada kedua populasi tersebut adalah sama.  Lakukanlah uji hipotesis yang dapat membuktikan kebenaran dari hipotesis peneliti tersebut, dengan taraf signifikan 5%!</a:t>
          </a:r>
          <a:endParaRPr lang="en-US" sz="1100" u="none">
            <a:latin typeface="Arial" pitchFamily="34" charset="0"/>
            <a:cs typeface="Arial" pitchFamily="34" charset="0"/>
          </a:endParaRPr>
        </a:p>
      </xdr:txBody>
    </xdr:sp>
    <xdr:clientData/>
  </xdr:twoCellAnchor>
  <xdr:twoCellAnchor>
    <xdr:from>
      <xdr:col>7</xdr:col>
      <xdr:colOff>232834</xdr:colOff>
      <xdr:row>12</xdr:row>
      <xdr:rowOff>126999</xdr:rowOff>
    </xdr:from>
    <xdr:to>
      <xdr:col>12</xdr:col>
      <xdr:colOff>476250</xdr:colOff>
      <xdr:row>24</xdr:row>
      <xdr:rowOff>137584</xdr:rowOff>
    </xdr:to>
    <xdr:sp macro="" textlink="">
      <xdr:nvSpPr>
        <xdr:cNvPr id="3" name="TextBox 2">
          <a:extLst>
            <a:ext uri="{FF2B5EF4-FFF2-40B4-BE49-F238E27FC236}">
              <a16:creationId xmlns:a16="http://schemas.microsoft.com/office/drawing/2014/main" id="{CAF71253-4C0B-4569-A837-536952F380E2}"/>
            </a:ext>
          </a:extLst>
        </xdr:cNvPr>
        <xdr:cNvSpPr txBox="1"/>
      </xdr:nvSpPr>
      <xdr:spPr>
        <a:xfrm>
          <a:off x="4909609" y="2308224"/>
          <a:ext cx="3291416" cy="218228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200" b="1" u="sng">
              <a:latin typeface="Arial" panose="020B0604020202020204" pitchFamily="34" charset="0"/>
              <a:cs typeface="Arial" panose="020B0604020202020204" pitchFamily="34" charset="0"/>
            </a:rPr>
            <a:t>HIPOTESIS SOAL 1:</a:t>
          </a:r>
        </a:p>
        <a:p>
          <a:pPr marL="0" marR="0" indent="0" algn="l" defTabSz="914400" eaLnBrk="1" fontAlgn="auto" latinLnBrk="0" hangingPunct="1">
            <a:lnSpc>
              <a:spcPct val="100000"/>
            </a:lnSpc>
            <a:spcBef>
              <a:spcPts val="0"/>
            </a:spcBef>
            <a:spcAft>
              <a:spcPts val="0"/>
            </a:spcAft>
            <a:buClrTx/>
            <a:buSzTx/>
            <a:buFontTx/>
            <a:buNone/>
            <a:tabLst/>
            <a:defRPr/>
          </a:pPr>
          <a:endParaRPr lang="en-US" sz="12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H0:</a:t>
          </a:r>
          <a:r>
            <a:rPr lang="id-ID" sz="1200" baseline="0">
              <a:latin typeface="Arial" panose="020B0604020202020204" pitchFamily="34" charset="0"/>
              <a:cs typeface="Arial" panose="020B0604020202020204" pitchFamily="34" charset="0"/>
            </a:rPr>
            <a:t> </a:t>
          </a:r>
          <a:endParaRPr lang="en-US" sz="1200" baseline="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H1:</a:t>
          </a:r>
          <a:r>
            <a:rPr lang="id-ID" sz="1200">
              <a:latin typeface="Arial" panose="020B0604020202020204" pitchFamily="34" charset="0"/>
              <a:cs typeface="Arial" panose="020B0604020202020204" pitchFamily="34" charset="0"/>
            </a:rPr>
            <a:t> </a:t>
          </a:r>
          <a:endParaRPr lang="en-US" sz="1200">
            <a:latin typeface="Arial" panose="020B0604020202020204" pitchFamily="34" charset="0"/>
            <a:cs typeface="Arial" panose="020B0604020202020204" pitchFamily="34" charset="0"/>
          </a:endParaRPr>
        </a:p>
      </xdr:txBody>
    </xdr:sp>
    <xdr:clientData/>
  </xdr:twoCellAnchor>
  <xdr:twoCellAnchor>
    <xdr:from>
      <xdr:col>19</xdr:col>
      <xdr:colOff>211931</xdr:colOff>
      <xdr:row>1</xdr:row>
      <xdr:rowOff>88106</xdr:rowOff>
    </xdr:from>
    <xdr:to>
      <xdr:col>25</xdr:col>
      <xdr:colOff>476251</xdr:colOff>
      <xdr:row>13</xdr:row>
      <xdr:rowOff>11906</xdr:rowOff>
    </xdr:to>
    <xdr:sp macro="" textlink="">
      <xdr:nvSpPr>
        <xdr:cNvPr id="4" name="TextBox 3">
          <a:extLst>
            <a:ext uri="{FF2B5EF4-FFF2-40B4-BE49-F238E27FC236}">
              <a16:creationId xmlns:a16="http://schemas.microsoft.com/office/drawing/2014/main" id="{888EAF59-FD0A-496E-949D-8E22859ECCC2}"/>
            </a:ext>
          </a:extLst>
        </xdr:cNvPr>
        <xdr:cNvSpPr txBox="1"/>
      </xdr:nvSpPr>
      <xdr:spPr>
        <a:xfrm>
          <a:off x="12613481" y="278606"/>
          <a:ext cx="3921920" cy="209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u="sng">
              <a:latin typeface="Arial" pitchFamily="34" charset="0"/>
              <a:cs typeface="Arial" pitchFamily="34" charset="0"/>
            </a:rPr>
            <a:t>Soal:</a:t>
          </a:r>
        </a:p>
        <a:p>
          <a:r>
            <a:rPr lang="en-US" sz="1100" u="none">
              <a:latin typeface="Arial" pitchFamily="34" charset="0"/>
              <a:cs typeface="Arial" pitchFamily="34" charset="0"/>
            </a:rPr>
            <a:t>2. Seorang</a:t>
          </a:r>
          <a:r>
            <a:rPr lang="en-US" sz="1100" u="none" baseline="0">
              <a:latin typeface="Arial" pitchFamily="34" charset="0"/>
              <a:cs typeface="Arial" pitchFamily="34" charset="0"/>
            </a:rPr>
            <a:t> peneliti ingin melakukan penelitian terhadap spesies ikan di daerah Sendang Biru. Penelitian tersebut  dilakukan pada spesies ikan yang sama namun dengan perlakuan berbeda, yaitu ikan yang ditangkap dengan bubu berumpan dan ikan yang ditangkap dengan bubu tanpa umpan. Peneliti berhipotesis bahwa ikan pada populasi yang sama dengan perlakuan yang berbeda memiliki berat rata-rata yang sama. Lakukanlah uji hipotesis dengan taraf signifikan 5%, sehingga dapat membantu peneliti mendapatkan kesimpulan dari penelitian yang dilakukannya!</a:t>
          </a:r>
          <a:endParaRPr lang="en-US" sz="1100" u="none">
            <a:latin typeface="Arial" pitchFamily="34" charset="0"/>
            <a:cs typeface="Arial" pitchFamily="34" charset="0"/>
          </a:endParaRPr>
        </a:p>
      </xdr:txBody>
    </xdr:sp>
    <xdr:clientData/>
  </xdr:twoCellAnchor>
  <xdr:twoCellAnchor>
    <xdr:from>
      <xdr:col>19</xdr:col>
      <xdr:colOff>222251</xdr:colOff>
      <xdr:row>13</xdr:row>
      <xdr:rowOff>137583</xdr:rowOff>
    </xdr:from>
    <xdr:to>
      <xdr:col>24</xdr:col>
      <xdr:colOff>465668</xdr:colOff>
      <xdr:row>25</xdr:row>
      <xdr:rowOff>148168</xdr:rowOff>
    </xdr:to>
    <xdr:sp macro="" textlink="">
      <xdr:nvSpPr>
        <xdr:cNvPr id="5" name="TextBox 4">
          <a:extLst>
            <a:ext uri="{FF2B5EF4-FFF2-40B4-BE49-F238E27FC236}">
              <a16:creationId xmlns:a16="http://schemas.microsoft.com/office/drawing/2014/main" id="{8637977D-BB60-462D-B40E-A52125D081F0}"/>
            </a:ext>
          </a:extLst>
        </xdr:cNvPr>
        <xdr:cNvSpPr txBox="1"/>
      </xdr:nvSpPr>
      <xdr:spPr>
        <a:xfrm>
          <a:off x="12623801" y="2499783"/>
          <a:ext cx="3291417" cy="218228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200" b="1" u="sng">
              <a:latin typeface="Arial" panose="020B0604020202020204" pitchFamily="34" charset="0"/>
              <a:cs typeface="Arial" panose="020B0604020202020204" pitchFamily="34" charset="0"/>
            </a:rPr>
            <a:t>HIPOTESIS SOAL 2:</a:t>
          </a:r>
        </a:p>
        <a:p>
          <a:pPr marL="0" marR="0" indent="0" algn="l" defTabSz="914400" eaLnBrk="1" fontAlgn="auto" latinLnBrk="0" hangingPunct="1">
            <a:lnSpc>
              <a:spcPct val="100000"/>
            </a:lnSpc>
            <a:spcBef>
              <a:spcPts val="0"/>
            </a:spcBef>
            <a:spcAft>
              <a:spcPts val="0"/>
            </a:spcAft>
            <a:buClrTx/>
            <a:buSzTx/>
            <a:buFontTx/>
            <a:buNone/>
            <a:tabLst/>
            <a:defRPr/>
          </a:pPr>
          <a:endParaRPr lang="en-US" sz="12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H0: </a:t>
          </a:r>
        </a:p>
        <a:p>
          <a:pPr marL="0" marR="0" indent="0" algn="l" defTabSz="91440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H1: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186376</xdr:colOff>
      <xdr:row>1</xdr:row>
      <xdr:rowOff>74192</xdr:rowOff>
    </xdr:from>
    <xdr:to>
      <xdr:col>11</xdr:col>
      <xdr:colOff>403101</xdr:colOff>
      <xdr:row>14</xdr:row>
      <xdr:rowOff>127000</xdr:rowOff>
    </xdr:to>
    <xdr:sp macro="" textlink="">
      <xdr:nvSpPr>
        <xdr:cNvPr id="2" name="TextBox 1">
          <a:extLst>
            <a:ext uri="{FF2B5EF4-FFF2-40B4-BE49-F238E27FC236}">
              <a16:creationId xmlns:a16="http://schemas.microsoft.com/office/drawing/2014/main" id="{BBFD533D-1004-4E10-AD9F-49CA81874628}"/>
            </a:ext>
          </a:extLst>
        </xdr:cNvPr>
        <xdr:cNvSpPr txBox="1"/>
      </xdr:nvSpPr>
      <xdr:spPr>
        <a:xfrm>
          <a:off x="4348801" y="264692"/>
          <a:ext cx="3264725" cy="24054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latin typeface="Arial" pitchFamily="34" charset="0"/>
              <a:cs typeface="Arial" pitchFamily="34" charset="0"/>
            </a:rPr>
            <a:t>Soal:</a:t>
          </a:r>
        </a:p>
        <a:p>
          <a:r>
            <a:rPr lang="en-US" sz="1100" u="none">
              <a:latin typeface="Arial" pitchFamily="34" charset="0"/>
              <a:cs typeface="Arial" pitchFamily="34" charset="0"/>
            </a:rPr>
            <a:t>1. Suatu penelitian panjang yang dilakukan di</a:t>
          </a:r>
          <a:r>
            <a:rPr lang="en-US" sz="1100" u="none" baseline="0">
              <a:latin typeface="Arial" pitchFamily="34" charset="0"/>
              <a:cs typeface="Arial" pitchFamily="34" charset="0"/>
            </a:rPr>
            <a:t> daerah Pantai Sidem dan Siupah didapatkan hasil seperti </a:t>
          </a:r>
          <a:r>
            <a:rPr lang="en-US" sz="1100" u="none">
              <a:latin typeface="Arial" pitchFamily="34" charset="0"/>
              <a:cs typeface="Arial" pitchFamily="34" charset="0"/>
            </a:rPr>
            <a:t> yang</a:t>
          </a:r>
          <a:r>
            <a:rPr lang="en-US" sz="1100" u="none" baseline="0">
              <a:latin typeface="Arial" pitchFamily="34" charset="0"/>
              <a:cs typeface="Arial" pitchFamily="34" charset="0"/>
            </a:rPr>
            <a:t> ditunjukkan pada data Unpaired T-Test. Pada penelitian tersebut peneliti melakukan pengukuran panjang berupa SL atau Standard Lenght (Panjang antara ujung mulut paling depan sampai akhir vertebral column atau hypural plate (mm)). Dengan menggunakan aplikasi Minitab lakukanlah uji hipotesis terhadap Standard Length ikan dan interpretasikan hasilnya jika diberikan asumsi "panjang rata-rata ikan pada kedua populasi tersebut  sama". Gunakan taraf signifikan sebesar 5%!</a:t>
          </a:r>
          <a:endParaRPr lang="en-US" sz="1100" u="none">
            <a:latin typeface="Arial" pitchFamily="34" charset="0"/>
            <a:cs typeface="Arial" pitchFamily="34" charset="0"/>
          </a:endParaRPr>
        </a:p>
      </xdr:txBody>
    </xdr:sp>
    <xdr:clientData/>
  </xdr:twoCellAnchor>
  <xdr:twoCellAnchor>
    <xdr:from>
      <xdr:col>17</xdr:col>
      <xdr:colOff>174625</xdr:colOff>
      <xdr:row>1</xdr:row>
      <xdr:rowOff>89958</xdr:rowOff>
    </xdr:from>
    <xdr:to>
      <xdr:col>23</xdr:col>
      <xdr:colOff>518583</xdr:colOff>
      <xdr:row>14</xdr:row>
      <xdr:rowOff>95250</xdr:rowOff>
    </xdr:to>
    <xdr:sp macro="" textlink="">
      <xdr:nvSpPr>
        <xdr:cNvPr id="3" name="TextBox 2">
          <a:extLst>
            <a:ext uri="{FF2B5EF4-FFF2-40B4-BE49-F238E27FC236}">
              <a16:creationId xmlns:a16="http://schemas.microsoft.com/office/drawing/2014/main" id="{46CA1ECE-B2B8-46E3-B8BA-FBA678BC71FE}"/>
            </a:ext>
          </a:extLst>
        </xdr:cNvPr>
        <xdr:cNvSpPr txBox="1"/>
      </xdr:nvSpPr>
      <xdr:spPr>
        <a:xfrm>
          <a:off x="11376025" y="280458"/>
          <a:ext cx="4001558" cy="2357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latin typeface="Arial" pitchFamily="34" charset="0"/>
              <a:cs typeface="Arial" pitchFamily="34" charset="0"/>
            </a:rPr>
            <a:t>Soal:</a:t>
          </a:r>
        </a:p>
        <a:p>
          <a:r>
            <a:rPr lang="en-US" sz="1100" u="none">
              <a:latin typeface="Arial" pitchFamily="34" charset="0"/>
              <a:cs typeface="Arial" pitchFamily="34" charset="0"/>
            </a:rPr>
            <a:t>2. Suatu</a:t>
          </a:r>
          <a:r>
            <a:rPr lang="en-US" sz="1100" u="none" baseline="0">
              <a:latin typeface="Arial" pitchFamily="34" charset="0"/>
              <a:cs typeface="Arial" pitchFamily="34" charset="0"/>
            </a:rPr>
            <a:t> penelitian di daerah Pasumpahan dilakukan untuk meneliti panjang spesies ikan yaitu panjang standar (</a:t>
          </a:r>
          <a:r>
            <a:rPr lang="en-US" sz="1100" u="none" baseline="0">
              <a:solidFill>
                <a:schemeClr val="dk1"/>
              </a:solidFill>
              <a:latin typeface="Arial" pitchFamily="34" charset="0"/>
              <a:ea typeface="+mn-ea"/>
              <a:cs typeface="Arial" pitchFamily="34" charset="0"/>
            </a:rPr>
            <a:t>p</a:t>
          </a:r>
          <a:r>
            <a:rPr lang="en-US" sz="1100" baseline="0">
              <a:solidFill>
                <a:schemeClr val="dk1"/>
              </a:solidFill>
              <a:latin typeface="Arial" pitchFamily="34" charset="0"/>
              <a:ea typeface="+mn-ea"/>
              <a:cs typeface="Arial" pitchFamily="34" charset="0"/>
            </a:rPr>
            <a:t>anjang antara ujung mulut paling depan sampai akhir vertebral column atau hypural plate (mm)). Penelitian tersebut dilakukan pada waktu yang berbeda sehingga menghasilkan 2 data standard length. penelitian pertama dilakukan pada bulan Maret dan penelitian kedua dilakukan pada bulan Oktober. Peneliti meyakini bahwa rata-rata panjang spesies ikan pada bulan Maret sama dengan rata-rata panjang ikan pada bulan Oktober. Untuk mengetahui apakah asumsi peneliti tersebut benar atau salah, lakukanlah uji hipotesis dengan taraf signifikan 5%!</a:t>
          </a:r>
          <a:endParaRPr lang="en-US" sz="1100" u="none">
            <a:latin typeface="Arial" pitchFamily="34" charset="0"/>
            <a:cs typeface="Arial" pitchFamily="34" charset="0"/>
          </a:endParaRPr>
        </a:p>
      </xdr:txBody>
    </xdr:sp>
    <xdr:clientData/>
  </xdr:twoCellAnchor>
  <xdr:twoCellAnchor>
    <xdr:from>
      <xdr:col>6</xdr:col>
      <xdr:colOff>201083</xdr:colOff>
      <xdr:row>15</xdr:row>
      <xdr:rowOff>158750</xdr:rowOff>
    </xdr:from>
    <xdr:to>
      <xdr:col>11</xdr:col>
      <xdr:colOff>444499</xdr:colOff>
      <xdr:row>27</xdr:row>
      <xdr:rowOff>169335</xdr:rowOff>
    </xdr:to>
    <xdr:sp macro="" textlink="">
      <xdr:nvSpPr>
        <xdr:cNvPr id="4" name="TextBox 3">
          <a:extLst>
            <a:ext uri="{FF2B5EF4-FFF2-40B4-BE49-F238E27FC236}">
              <a16:creationId xmlns:a16="http://schemas.microsoft.com/office/drawing/2014/main" id="{DE9B33A1-9AE1-4977-B2C5-CC7D62D4BE01}"/>
            </a:ext>
          </a:extLst>
        </xdr:cNvPr>
        <xdr:cNvSpPr txBox="1"/>
      </xdr:nvSpPr>
      <xdr:spPr>
        <a:xfrm>
          <a:off x="4363508" y="2882900"/>
          <a:ext cx="3291416" cy="218228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200" b="1" u="sng">
              <a:latin typeface="Arial" panose="020B0604020202020204" pitchFamily="34" charset="0"/>
              <a:cs typeface="Arial" panose="020B0604020202020204" pitchFamily="34" charset="0"/>
            </a:rPr>
            <a:t>HIPOTESIS SOAL 1:</a:t>
          </a:r>
        </a:p>
        <a:p>
          <a:pPr marL="0" marR="0" indent="0" algn="l" defTabSz="914400" eaLnBrk="1" fontAlgn="auto" latinLnBrk="0" hangingPunct="1">
            <a:lnSpc>
              <a:spcPct val="100000"/>
            </a:lnSpc>
            <a:spcBef>
              <a:spcPts val="0"/>
            </a:spcBef>
            <a:spcAft>
              <a:spcPts val="0"/>
            </a:spcAft>
            <a:buClrTx/>
            <a:buSzTx/>
            <a:buFontTx/>
            <a:buNone/>
            <a:tabLst/>
            <a:defRPr/>
          </a:pPr>
          <a:endParaRPr lang="en-US" sz="12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H0:</a:t>
          </a:r>
        </a:p>
        <a:p>
          <a:pPr marL="0" marR="0" indent="0" algn="l" defTabSz="91440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H1:</a:t>
          </a:r>
        </a:p>
        <a:p>
          <a:pPr marL="0" marR="0" indent="0" algn="l" defTabSz="914400" eaLnBrk="1" fontAlgn="auto" latinLnBrk="0" hangingPunct="1">
            <a:lnSpc>
              <a:spcPct val="100000"/>
            </a:lnSpc>
            <a:spcBef>
              <a:spcPts val="0"/>
            </a:spcBef>
            <a:spcAft>
              <a:spcPts val="0"/>
            </a:spcAft>
            <a:buClrTx/>
            <a:buSzTx/>
            <a:buFontTx/>
            <a:buNone/>
            <a:tabLst/>
            <a:defRPr/>
          </a:pPr>
          <a:endParaRPr lang="en-US" sz="12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Interpretasi:</a:t>
          </a:r>
        </a:p>
      </xdr:txBody>
    </xdr:sp>
    <xdr:clientData/>
  </xdr:twoCellAnchor>
  <xdr:twoCellAnchor>
    <xdr:from>
      <xdr:col>17</xdr:col>
      <xdr:colOff>184151</xdr:colOff>
      <xdr:row>16</xdr:row>
      <xdr:rowOff>4233</xdr:rowOff>
    </xdr:from>
    <xdr:to>
      <xdr:col>22</xdr:col>
      <xdr:colOff>427567</xdr:colOff>
      <xdr:row>28</xdr:row>
      <xdr:rowOff>14818</xdr:rowOff>
    </xdr:to>
    <xdr:sp macro="" textlink="">
      <xdr:nvSpPr>
        <xdr:cNvPr id="5" name="TextBox 4">
          <a:extLst>
            <a:ext uri="{FF2B5EF4-FFF2-40B4-BE49-F238E27FC236}">
              <a16:creationId xmlns:a16="http://schemas.microsoft.com/office/drawing/2014/main" id="{DAA48CD2-08A8-4F87-9CD9-1126C65C873A}"/>
            </a:ext>
          </a:extLst>
        </xdr:cNvPr>
        <xdr:cNvSpPr txBox="1"/>
      </xdr:nvSpPr>
      <xdr:spPr>
        <a:xfrm>
          <a:off x="11385551" y="2909358"/>
          <a:ext cx="3291416" cy="218228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200" b="1" u="sng">
              <a:latin typeface="Arial" panose="020B0604020202020204" pitchFamily="34" charset="0"/>
              <a:cs typeface="Arial" panose="020B0604020202020204" pitchFamily="34" charset="0"/>
            </a:rPr>
            <a:t>HIPOTESIS SOAL 2:</a:t>
          </a:r>
        </a:p>
        <a:p>
          <a:pPr marL="0" marR="0" indent="0" algn="l" defTabSz="914400" eaLnBrk="1" fontAlgn="auto" latinLnBrk="0" hangingPunct="1">
            <a:lnSpc>
              <a:spcPct val="100000"/>
            </a:lnSpc>
            <a:spcBef>
              <a:spcPts val="0"/>
            </a:spcBef>
            <a:spcAft>
              <a:spcPts val="0"/>
            </a:spcAft>
            <a:buClrTx/>
            <a:buSzTx/>
            <a:buFontTx/>
            <a:buNone/>
            <a:tabLst/>
            <a:defRPr/>
          </a:pPr>
          <a:endParaRPr lang="en-US" sz="12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H0:</a:t>
          </a:r>
        </a:p>
        <a:p>
          <a:pPr marL="0" marR="0" indent="0" algn="l" defTabSz="91440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H1:</a:t>
          </a:r>
        </a:p>
        <a:p>
          <a:pPr marL="0" marR="0" indent="0" algn="l" defTabSz="914400" eaLnBrk="1" fontAlgn="auto" latinLnBrk="0" hangingPunct="1">
            <a:lnSpc>
              <a:spcPct val="100000"/>
            </a:lnSpc>
            <a:spcBef>
              <a:spcPts val="0"/>
            </a:spcBef>
            <a:spcAft>
              <a:spcPts val="0"/>
            </a:spcAft>
            <a:buClrTx/>
            <a:buSzTx/>
            <a:buFontTx/>
            <a:buNone/>
            <a:tabLst/>
            <a:defRPr/>
          </a:pPr>
          <a:endParaRPr lang="en-US" sz="1200">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Interpretasi:</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0"/>
  <sheetViews>
    <sheetView zoomScale="90" zoomScaleNormal="90" workbookViewId="0">
      <selection activeCell="G16" sqref="G16:G17"/>
    </sheetView>
  </sheetViews>
  <sheetFormatPr defaultRowHeight="15" x14ac:dyDescent="0.25"/>
  <cols>
    <col min="1" max="1" width="6.5703125" style="9" bestFit="1" customWidth="1"/>
    <col min="2" max="2" width="17" style="9" bestFit="1" customWidth="1"/>
    <col min="3" max="5" width="9.140625" style="9"/>
    <col min="7" max="7" width="67.5703125" customWidth="1"/>
  </cols>
  <sheetData>
    <row r="1" spans="1:9" x14ac:dyDescent="0.25">
      <c r="A1" s="7" t="s">
        <v>0</v>
      </c>
      <c r="B1" s="10" t="s">
        <v>1</v>
      </c>
      <c r="C1" s="7" t="s">
        <v>2</v>
      </c>
      <c r="D1" s="7" t="s">
        <v>3</v>
      </c>
      <c r="E1" s="7" t="s">
        <v>4</v>
      </c>
    </row>
    <row r="2" spans="1:9" x14ac:dyDescent="0.25">
      <c r="A2" s="11">
        <v>11</v>
      </c>
      <c r="B2" s="9" t="str">
        <f t="shared" ref="B2:B33" si="0">IF(A2=11,"Gelondonggede",IF(A2=12,"Brondong", IF(A2=13,"Padikde Talango",IF(A2=14,"Mayangan", IF(A2=15,"Pulau Santan")))))</f>
        <v>Gelondonggede</v>
      </c>
      <c r="C2" s="11">
        <v>1110</v>
      </c>
      <c r="D2" s="12">
        <v>14.07</v>
      </c>
      <c r="E2" s="13">
        <v>1</v>
      </c>
    </row>
    <row r="3" spans="1:9" x14ac:dyDescent="0.25">
      <c r="A3" s="11">
        <v>11</v>
      </c>
      <c r="B3" s="9" t="str">
        <f t="shared" si="0"/>
        <v>Gelondonggede</v>
      </c>
      <c r="C3" s="11">
        <v>1110</v>
      </c>
      <c r="D3" s="12">
        <v>8.84</v>
      </c>
      <c r="E3" s="13">
        <v>1</v>
      </c>
    </row>
    <row r="4" spans="1:9" x14ac:dyDescent="0.25">
      <c r="A4" s="11">
        <v>11</v>
      </c>
      <c r="B4" s="9" t="str">
        <f t="shared" si="0"/>
        <v>Gelondonggede</v>
      </c>
      <c r="C4" s="11">
        <v>1110</v>
      </c>
      <c r="D4" s="12">
        <v>11.26</v>
      </c>
      <c r="E4" s="13">
        <v>0</v>
      </c>
      <c r="I4" s="6"/>
    </row>
    <row r="5" spans="1:9" x14ac:dyDescent="0.25">
      <c r="A5" s="11">
        <v>11</v>
      </c>
      <c r="B5" s="9" t="str">
        <f t="shared" si="0"/>
        <v>Gelondonggede</v>
      </c>
      <c r="C5" s="11">
        <v>1110</v>
      </c>
      <c r="D5" s="12">
        <v>10.02</v>
      </c>
      <c r="E5" s="13">
        <v>0</v>
      </c>
    </row>
    <row r="6" spans="1:9" x14ac:dyDescent="0.25">
      <c r="A6" s="11">
        <v>11</v>
      </c>
      <c r="B6" s="9" t="str">
        <f t="shared" si="0"/>
        <v>Gelondonggede</v>
      </c>
      <c r="C6" s="11">
        <v>1110</v>
      </c>
      <c r="D6" s="12">
        <v>9.7200000000000006</v>
      </c>
      <c r="E6" s="13">
        <v>0</v>
      </c>
    </row>
    <row r="7" spans="1:9" x14ac:dyDescent="0.25">
      <c r="A7" s="11">
        <v>11</v>
      </c>
      <c r="B7" s="9" t="str">
        <f t="shared" si="0"/>
        <v>Gelondonggede</v>
      </c>
      <c r="C7" s="11">
        <v>1110</v>
      </c>
      <c r="D7" s="12">
        <v>9.0500000000000007</v>
      </c>
      <c r="E7" s="13">
        <v>0</v>
      </c>
    </row>
    <row r="8" spans="1:9" x14ac:dyDescent="0.25">
      <c r="A8" s="11">
        <v>11</v>
      </c>
      <c r="B8" s="9" t="str">
        <f t="shared" si="0"/>
        <v>Gelondonggede</v>
      </c>
      <c r="C8" s="11">
        <v>1110</v>
      </c>
      <c r="D8" s="12">
        <v>9.3699999999999992</v>
      </c>
      <c r="E8" s="13">
        <v>1</v>
      </c>
    </row>
    <row r="9" spans="1:9" x14ac:dyDescent="0.25">
      <c r="A9" s="11">
        <v>11</v>
      </c>
      <c r="B9" s="9" t="str">
        <f t="shared" si="0"/>
        <v>Gelondonggede</v>
      </c>
      <c r="C9" s="11">
        <v>1110</v>
      </c>
      <c r="D9" s="12">
        <v>8.6999999999999993</v>
      </c>
      <c r="E9" s="13">
        <v>0</v>
      </c>
    </row>
    <row r="10" spans="1:9" x14ac:dyDescent="0.25">
      <c r="A10" s="11">
        <v>11</v>
      </c>
      <c r="B10" s="9" t="str">
        <f t="shared" si="0"/>
        <v>Gelondonggede</v>
      </c>
      <c r="C10" s="11">
        <v>1110</v>
      </c>
      <c r="D10" s="12">
        <v>8.91</v>
      </c>
      <c r="E10" s="13">
        <v>1</v>
      </c>
    </row>
    <row r="11" spans="1:9" x14ac:dyDescent="0.25">
      <c r="A11" s="11">
        <v>11</v>
      </c>
      <c r="B11" s="9" t="str">
        <f t="shared" si="0"/>
        <v>Gelondonggede</v>
      </c>
      <c r="C11" s="11">
        <v>1110</v>
      </c>
      <c r="D11" s="12">
        <v>7.74</v>
      </c>
      <c r="E11" s="13">
        <v>1</v>
      </c>
    </row>
    <row r="12" spans="1:9" x14ac:dyDescent="0.25">
      <c r="A12" s="11">
        <v>11</v>
      </c>
      <c r="B12" s="9" t="str">
        <f t="shared" si="0"/>
        <v>Gelondonggede</v>
      </c>
      <c r="C12" s="11">
        <v>1110</v>
      </c>
      <c r="D12" s="12">
        <v>9.08</v>
      </c>
      <c r="E12" s="13">
        <v>0</v>
      </c>
      <c r="G12" s="5"/>
    </row>
    <row r="13" spans="1:9" x14ac:dyDescent="0.25">
      <c r="A13" s="11">
        <v>11</v>
      </c>
      <c r="B13" s="9" t="str">
        <f t="shared" si="0"/>
        <v>Gelondonggede</v>
      </c>
      <c r="C13" s="11">
        <v>1110</v>
      </c>
      <c r="D13" s="12">
        <v>7.28</v>
      </c>
      <c r="E13" s="13">
        <v>1</v>
      </c>
    </row>
    <row r="14" spans="1:9" x14ac:dyDescent="0.25">
      <c r="A14" s="11">
        <v>11</v>
      </c>
      <c r="B14" s="9" t="str">
        <f t="shared" si="0"/>
        <v>Gelondonggede</v>
      </c>
      <c r="C14" s="11">
        <v>1110</v>
      </c>
      <c r="D14" s="12">
        <v>9.69</v>
      </c>
      <c r="E14" s="13">
        <v>0</v>
      </c>
    </row>
    <row r="15" spans="1:9" x14ac:dyDescent="0.25">
      <c r="A15" s="11">
        <v>11</v>
      </c>
      <c r="B15" s="9" t="str">
        <f t="shared" si="0"/>
        <v>Gelondonggede</v>
      </c>
      <c r="C15" s="11">
        <v>1110</v>
      </c>
      <c r="D15" s="12">
        <v>9</v>
      </c>
      <c r="E15" s="13">
        <v>1</v>
      </c>
    </row>
    <row r="16" spans="1:9" x14ac:dyDescent="0.25">
      <c r="A16" s="11">
        <v>11</v>
      </c>
      <c r="B16" s="9" t="str">
        <f t="shared" si="0"/>
        <v>Gelondonggede</v>
      </c>
      <c r="C16" s="11">
        <v>1110</v>
      </c>
      <c r="D16" s="12">
        <v>4.8499999999999996</v>
      </c>
      <c r="E16" s="13">
        <v>0</v>
      </c>
      <c r="G16" s="16" t="s">
        <v>7</v>
      </c>
    </row>
    <row r="17" spans="1:7" x14ac:dyDescent="0.25">
      <c r="A17" s="11">
        <v>11</v>
      </c>
      <c r="B17" s="9" t="str">
        <f t="shared" si="0"/>
        <v>Gelondonggede</v>
      </c>
      <c r="C17" s="11">
        <v>1110</v>
      </c>
      <c r="D17" s="12">
        <v>7.34</v>
      </c>
      <c r="E17" s="13">
        <v>1</v>
      </c>
      <c r="G17" s="16" t="s">
        <v>8</v>
      </c>
    </row>
    <row r="18" spans="1:7" x14ac:dyDescent="0.25">
      <c r="A18" s="11">
        <v>11</v>
      </c>
      <c r="B18" s="9" t="str">
        <f t="shared" si="0"/>
        <v>Gelondonggede</v>
      </c>
      <c r="C18" s="11">
        <v>1110</v>
      </c>
      <c r="D18" s="12">
        <v>6.31</v>
      </c>
      <c r="E18" s="13">
        <v>1</v>
      </c>
    </row>
    <row r="19" spans="1:7" x14ac:dyDescent="0.25">
      <c r="A19" s="11">
        <v>11</v>
      </c>
      <c r="B19" s="9" t="str">
        <f t="shared" si="0"/>
        <v>Gelondonggede</v>
      </c>
      <c r="C19" s="11">
        <v>1110</v>
      </c>
      <c r="D19" s="12">
        <v>6.64</v>
      </c>
      <c r="E19" s="13">
        <v>1</v>
      </c>
    </row>
    <row r="20" spans="1:7" x14ac:dyDescent="0.25">
      <c r="A20" s="11">
        <v>11</v>
      </c>
      <c r="B20" s="9" t="str">
        <f t="shared" si="0"/>
        <v>Gelondonggede</v>
      </c>
      <c r="C20" s="11">
        <v>1110</v>
      </c>
      <c r="D20" s="12">
        <v>8.41</v>
      </c>
      <c r="E20" s="13">
        <v>0</v>
      </c>
    </row>
    <row r="21" spans="1:7" x14ac:dyDescent="0.25">
      <c r="A21" s="11">
        <v>11</v>
      </c>
      <c r="B21" s="9" t="str">
        <f t="shared" si="0"/>
        <v>Gelondonggede</v>
      </c>
      <c r="C21" s="11">
        <v>1110</v>
      </c>
      <c r="D21" s="12">
        <v>5.96</v>
      </c>
      <c r="E21" s="13">
        <v>0</v>
      </c>
    </row>
    <row r="22" spans="1:7" x14ac:dyDescent="0.25">
      <c r="A22" s="11">
        <v>11</v>
      </c>
      <c r="B22" s="9" t="str">
        <f t="shared" si="0"/>
        <v>Gelondonggede</v>
      </c>
      <c r="C22" s="11">
        <v>1110</v>
      </c>
      <c r="D22" s="12">
        <v>6.33</v>
      </c>
      <c r="E22" s="13">
        <v>0</v>
      </c>
    </row>
    <row r="23" spans="1:7" x14ac:dyDescent="0.25">
      <c r="A23" s="11">
        <v>11</v>
      </c>
      <c r="B23" s="9" t="str">
        <f t="shared" si="0"/>
        <v>Gelondonggede</v>
      </c>
      <c r="C23" s="11">
        <v>1110</v>
      </c>
      <c r="D23" s="12">
        <v>8.84</v>
      </c>
      <c r="E23" s="13">
        <v>0</v>
      </c>
    </row>
    <row r="24" spans="1:7" x14ac:dyDescent="0.25">
      <c r="A24" s="11">
        <v>11</v>
      </c>
      <c r="B24" s="9" t="str">
        <f t="shared" si="0"/>
        <v>Gelondonggede</v>
      </c>
      <c r="C24" s="11">
        <v>1110</v>
      </c>
      <c r="D24" s="12">
        <v>6.26</v>
      </c>
      <c r="E24" s="13">
        <v>0</v>
      </c>
    </row>
    <row r="25" spans="1:7" x14ac:dyDescent="0.25">
      <c r="A25" s="11">
        <v>11</v>
      </c>
      <c r="B25" s="9" t="str">
        <f t="shared" si="0"/>
        <v>Gelondonggede</v>
      </c>
      <c r="C25" s="11">
        <v>1110</v>
      </c>
      <c r="D25" s="12">
        <v>6.27</v>
      </c>
      <c r="E25" s="13">
        <v>1</v>
      </c>
    </row>
    <row r="26" spans="1:7" x14ac:dyDescent="0.25">
      <c r="A26" s="11">
        <v>11</v>
      </c>
      <c r="B26" s="9" t="str">
        <f t="shared" si="0"/>
        <v>Gelondonggede</v>
      </c>
      <c r="C26" s="11">
        <v>1110</v>
      </c>
      <c r="D26" s="12">
        <v>6.44</v>
      </c>
      <c r="E26" s="13">
        <v>1</v>
      </c>
    </row>
    <row r="27" spans="1:7" x14ac:dyDescent="0.25">
      <c r="A27" s="11">
        <v>11</v>
      </c>
      <c r="B27" s="9" t="str">
        <f t="shared" si="0"/>
        <v>Gelondonggede</v>
      </c>
      <c r="C27" s="11">
        <v>1110</v>
      </c>
      <c r="D27" s="12">
        <v>8.07</v>
      </c>
      <c r="E27" s="13">
        <v>1</v>
      </c>
    </row>
    <row r="28" spans="1:7" x14ac:dyDescent="0.25">
      <c r="A28" s="11">
        <v>11</v>
      </c>
      <c r="B28" s="9" t="str">
        <f t="shared" si="0"/>
        <v>Gelondonggede</v>
      </c>
      <c r="C28" s="11">
        <v>1110</v>
      </c>
      <c r="D28" s="12">
        <v>6.04</v>
      </c>
      <c r="E28" s="13">
        <v>1</v>
      </c>
    </row>
    <row r="29" spans="1:7" x14ac:dyDescent="0.25">
      <c r="A29" s="11">
        <v>11</v>
      </c>
      <c r="B29" s="9" t="str">
        <f t="shared" si="0"/>
        <v>Gelondonggede</v>
      </c>
      <c r="C29" s="11">
        <v>1110</v>
      </c>
      <c r="D29" s="12">
        <v>4.8</v>
      </c>
      <c r="E29" s="13">
        <v>1</v>
      </c>
    </row>
    <row r="30" spans="1:7" x14ac:dyDescent="0.25">
      <c r="A30" s="11">
        <v>11</v>
      </c>
      <c r="B30" s="9" t="str">
        <f t="shared" si="0"/>
        <v>Gelondonggede</v>
      </c>
      <c r="C30" s="11">
        <v>1110</v>
      </c>
      <c r="D30" s="14">
        <v>8.4499999999999993</v>
      </c>
      <c r="E30" s="13">
        <v>1</v>
      </c>
    </row>
    <row r="31" spans="1:7" x14ac:dyDescent="0.25">
      <c r="A31" s="11">
        <v>11</v>
      </c>
      <c r="B31" s="9" t="str">
        <f t="shared" si="0"/>
        <v>Gelondonggede</v>
      </c>
      <c r="C31" s="11">
        <v>1110</v>
      </c>
      <c r="D31" s="14">
        <v>7.85</v>
      </c>
      <c r="E31" s="13">
        <v>1</v>
      </c>
    </row>
    <row r="32" spans="1:7" x14ac:dyDescent="0.25">
      <c r="A32" s="11">
        <v>11</v>
      </c>
      <c r="B32" s="9" t="str">
        <f t="shared" si="0"/>
        <v>Gelondonggede</v>
      </c>
      <c r="C32" s="11">
        <v>1110</v>
      </c>
      <c r="D32" s="14">
        <v>6.28</v>
      </c>
      <c r="E32" s="13">
        <v>1</v>
      </c>
    </row>
    <row r="33" spans="1:5" x14ac:dyDescent="0.25">
      <c r="A33" s="11">
        <v>11</v>
      </c>
      <c r="B33" s="9" t="str">
        <f t="shared" si="0"/>
        <v>Gelondonggede</v>
      </c>
      <c r="C33" s="11">
        <v>1110</v>
      </c>
      <c r="D33" s="14">
        <v>7.77</v>
      </c>
      <c r="E33" s="13">
        <v>1</v>
      </c>
    </row>
    <row r="34" spans="1:5" x14ac:dyDescent="0.25">
      <c r="A34" s="11">
        <v>11</v>
      </c>
      <c r="B34" s="9" t="str">
        <f t="shared" ref="B34:B65" si="1">IF(A34=11,"Gelondonggede",IF(A34=12,"Brondong", IF(A34=13,"Padikde Talango",IF(A34=14,"Mayangan", IF(A34=15,"Pulau Santan")))))</f>
        <v>Gelondonggede</v>
      </c>
      <c r="C34" s="11">
        <v>1110</v>
      </c>
      <c r="D34" s="15">
        <v>5.8</v>
      </c>
      <c r="E34" s="13">
        <v>0</v>
      </c>
    </row>
    <row r="35" spans="1:5" x14ac:dyDescent="0.25">
      <c r="A35" s="11">
        <v>11</v>
      </c>
      <c r="B35" s="9" t="str">
        <f t="shared" si="1"/>
        <v>Gelondonggede</v>
      </c>
      <c r="C35" s="11">
        <v>1110</v>
      </c>
      <c r="D35" s="12">
        <v>24</v>
      </c>
      <c r="E35" s="13">
        <v>1</v>
      </c>
    </row>
    <row r="36" spans="1:5" x14ac:dyDescent="0.25">
      <c r="A36" s="11">
        <v>11</v>
      </c>
      <c r="B36" s="9" t="str">
        <f t="shared" si="1"/>
        <v>Gelondonggede</v>
      </c>
      <c r="C36" s="11">
        <v>1110</v>
      </c>
      <c r="D36" s="12">
        <v>13.02</v>
      </c>
      <c r="E36" s="13">
        <v>1</v>
      </c>
    </row>
    <row r="37" spans="1:5" x14ac:dyDescent="0.25">
      <c r="A37" s="11">
        <v>11</v>
      </c>
      <c r="B37" s="9" t="str">
        <f t="shared" si="1"/>
        <v>Gelondonggede</v>
      </c>
      <c r="C37" s="11">
        <v>1110</v>
      </c>
      <c r="D37" s="12">
        <v>15.94</v>
      </c>
      <c r="E37" s="13">
        <v>1</v>
      </c>
    </row>
    <row r="38" spans="1:5" x14ac:dyDescent="0.25">
      <c r="A38" s="11">
        <v>11</v>
      </c>
      <c r="B38" s="9" t="str">
        <f t="shared" si="1"/>
        <v>Gelondonggede</v>
      </c>
      <c r="C38" s="11">
        <v>1110</v>
      </c>
      <c r="D38" s="12">
        <v>18.510000000000002</v>
      </c>
      <c r="E38" s="13">
        <v>1</v>
      </c>
    </row>
    <row r="39" spans="1:5" x14ac:dyDescent="0.25">
      <c r="A39" s="11">
        <v>11</v>
      </c>
      <c r="B39" s="9" t="str">
        <f t="shared" si="1"/>
        <v>Gelondonggede</v>
      </c>
      <c r="C39" s="11">
        <v>1110</v>
      </c>
      <c r="D39" s="12">
        <v>10.94</v>
      </c>
      <c r="E39" s="13">
        <v>1</v>
      </c>
    </row>
    <row r="40" spans="1:5" x14ac:dyDescent="0.25">
      <c r="A40" s="11">
        <v>11</v>
      </c>
      <c r="B40" s="9" t="str">
        <f t="shared" si="1"/>
        <v>Gelondonggede</v>
      </c>
      <c r="C40" s="11">
        <v>1110</v>
      </c>
      <c r="D40" s="12">
        <v>11.43</v>
      </c>
      <c r="E40" s="13">
        <v>1</v>
      </c>
    </row>
    <row r="41" spans="1:5" x14ac:dyDescent="0.25">
      <c r="A41" s="11">
        <v>11</v>
      </c>
      <c r="B41" s="9" t="str">
        <f t="shared" si="1"/>
        <v>Gelondonggede</v>
      </c>
      <c r="C41" s="11">
        <v>1110</v>
      </c>
      <c r="D41" s="12">
        <v>9.85</v>
      </c>
      <c r="E41" s="13">
        <v>0</v>
      </c>
    </row>
    <row r="42" spans="1:5" x14ac:dyDescent="0.25">
      <c r="A42" s="11">
        <v>11</v>
      </c>
      <c r="B42" s="9" t="str">
        <f t="shared" si="1"/>
        <v>Gelondonggede</v>
      </c>
      <c r="C42" s="11">
        <v>1110</v>
      </c>
      <c r="D42" s="12">
        <v>7.94</v>
      </c>
      <c r="E42" s="13">
        <v>1</v>
      </c>
    </row>
    <row r="43" spans="1:5" x14ac:dyDescent="0.25">
      <c r="A43" s="11">
        <v>11</v>
      </c>
      <c r="B43" s="9" t="str">
        <f t="shared" si="1"/>
        <v>Gelondonggede</v>
      </c>
      <c r="C43" s="11">
        <v>1110</v>
      </c>
      <c r="D43" s="12">
        <v>5.88</v>
      </c>
      <c r="E43" s="13">
        <v>1</v>
      </c>
    </row>
    <row r="44" spans="1:5" x14ac:dyDescent="0.25">
      <c r="A44" s="11">
        <v>11</v>
      </c>
      <c r="B44" s="9" t="str">
        <f t="shared" si="1"/>
        <v>Gelondonggede</v>
      </c>
      <c r="C44" s="11">
        <v>1110</v>
      </c>
      <c r="D44" s="12">
        <v>4.57</v>
      </c>
      <c r="E44" s="13">
        <v>0</v>
      </c>
    </row>
    <row r="45" spans="1:5" x14ac:dyDescent="0.25">
      <c r="A45" s="11">
        <v>11</v>
      </c>
      <c r="B45" s="9" t="str">
        <f t="shared" si="1"/>
        <v>Gelondonggede</v>
      </c>
      <c r="C45" s="11">
        <v>1110</v>
      </c>
      <c r="D45" s="12">
        <v>15.94</v>
      </c>
      <c r="E45" s="13">
        <v>0</v>
      </c>
    </row>
    <row r="46" spans="1:5" x14ac:dyDescent="0.25">
      <c r="A46" s="11">
        <v>11</v>
      </c>
      <c r="B46" s="9" t="str">
        <f t="shared" si="1"/>
        <v>Gelondonggede</v>
      </c>
      <c r="C46" s="11">
        <v>1110</v>
      </c>
      <c r="D46" s="12">
        <v>12.17</v>
      </c>
      <c r="E46" s="13">
        <v>0</v>
      </c>
    </row>
    <row r="47" spans="1:5" x14ac:dyDescent="0.25">
      <c r="A47" s="11">
        <v>11</v>
      </c>
      <c r="B47" s="9" t="str">
        <f t="shared" si="1"/>
        <v>Gelondonggede</v>
      </c>
      <c r="C47" s="11">
        <v>1110</v>
      </c>
      <c r="D47" s="12">
        <v>11.12</v>
      </c>
      <c r="E47" s="13">
        <v>1</v>
      </c>
    </row>
    <row r="48" spans="1:5" x14ac:dyDescent="0.25">
      <c r="A48" s="11">
        <v>11</v>
      </c>
      <c r="B48" s="9" t="str">
        <f t="shared" si="1"/>
        <v>Gelondonggede</v>
      </c>
      <c r="C48" s="11">
        <v>1110</v>
      </c>
      <c r="D48" s="12">
        <v>11.8</v>
      </c>
      <c r="E48" s="13">
        <v>0</v>
      </c>
    </row>
    <row r="49" spans="1:5" x14ac:dyDescent="0.25">
      <c r="A49" s="11">
        <v>11</v>
      </c>
      <c r="B49" s="9" t="str">
        <f t="shared" si="1"/>
        <v>Gelondonggede</v>
      </c>
      <c r="C49" s="11">
        <v>1110</v>
      </c>
      <c r="D49" s="12">
        <v>11.06</v>
      </c>
      <c r="E49" s="13">
        <v>1</v>
      </c>
    </row>
    <row r="50" spans="1:5" x14ac:dyDescent="0.25">
      <c r="A50" s="11">
        <v>11</v>
      </c>
      <c r="B50" s="9" t="str">
        <f t="shared" si="1"/>
        <v>Gelondonggede</v>
      </c>
      <c r="C50" s="11">
        <v>1110</v>
      </c>
      <c r="D50" s="12">
        <v>10.14</v>
      </c>
      <c r="E50" s="13">
        <v>0</v>
      </c>
    </row>
    <row r="51" spans="1:5" x14ac:dyDescent="0.25">
      <c r="A51" s="11">
        <v>11</v>
      </c>
      <c r="B51" s="9" t="str">
        <f t="shared" si="1"/>
        <v>Gelondonggede</v>
      </c>
      <c r="C51" s="11">
        <v>1110</v>
      </c>
      <c r="D51" s="12">
        <v>11.11</v>
      </c>
      <c r="E51" s="13">
        <v>0</v>
      </c>
    </row>
    <row r="52" spans="1:5" x14ac:dyDescent="0.25">
      <c r="A52" s="11">
        <v>11</v>
      </c>
      <c r="B52" s="9" t="str">
        <f t="shared" si="1"/>
        <v>Gelondonggede</v>
      </c>
      <c r="C52" s="11">
        <v>1110</v>
      </c>
      <c r="D52" s="12">
        <v>9.6199999999999992</v>
      </c>
      <c r="E52" s="13">
        <v>0</v>
      </c>
    </row>
    <row r="53" spans="1:5" x14ac:dyDescent="0.25">
      <c r="A53" s="11">
        <v>11</v>
      </c>
      <c r="B53" s="9" t="str">
        <f t="shared" si="1"/>
        <v>Gelondonggede</v>
      </c>
      <c r="C53" s="11">
        <v>1110</v>
      </c>
      <c r="D53" s="12">
        <v>10.69</v>
      </c>
      <c r="E53" s="13">
        <v>1</v>
      </c>
    </row>
    <row r="54" spans="1:5" x14ac:dyDescent="0.25">
      <c r="A54" s="11">
        <v>11</v>
      </c>
      <c r="B54" s="9" t="str">
        <f t="shared" si="1"/>
        <v>Gelondonggede</v>
      </c>
      <c r="C54" s="11">
        <v>1110</v>
      </c>
      <c r="D54" s="12">
        <v>8.57</v>
      </c>
      <c r="E54" s="13">
        <v>1</v>
      </c>
    </row>
    <row r="55" spans="1:5" x14ac:dyDescent="0.25">
      <c r="A55" s="11">
        <v>11</v>
      </c>
      <c r="B55" s="9" t="str">
        <f t="shared" si="1"/>
        <v>Gelondonggede</v>
      </c>
      <c r="C55" s="11">
        <v>1110</v>
      </c>
      <c r="D55" s="12">
        <v>7.87</v>
      </c>
      <c r="E55" s="13">
        <v>1</v>
      </c>
    </row>
    <row r="56" spans="1:5" x14ac:dyDescent="0.25">
      <c r="A56" s="11">
        <v>11</v>
      </c>
      <c r="B56" s="9" t="str">
        <f t="shared" si="1"/>
        <v>Gelondonggede</v>
      </c>
      <c r="C56" s="11">
        <v>1110</v>
      </c>
      <c r="D56" s="12">
        <v>9.44</v>
      </c>
      <c r="E56" s="13">
        <v>1</v>
      </c>
    </row>
    <row r="57" spans="1:5" x14ac:dyDescent="0.25">
      <c r="A57" s="11">
        <v>11</v>
      </c>
      <c r="B57" s="9" t="str">
        <f t="shared" si="1"/>
        <v>Gelondonggede</v>
      </c>
      <c r="C57" s="11">
        <v>1110</v>
      </c>
      <c r="D57" s="12">
        <v>8.66</v>
      </c>
      <c r="E57" s="13">
        <v>1</v>
      </c>
    </row>
    <row r="58" spans="1:5" x14ac:dyDescent="0.25">
      <c r="A58" s="11">
        <v>11</v>
      </c>
      <c r="B58" s="9" t="str">
        <f t="shared" si="1"/>
        <v>Gelondonggede</v>
      </c>
      <c r="C58" s="11">
        <v>1110</v>
      </c>
      <c r="D58" s="12">
        <v>8.99</v>
      </c>
      <c r="E58" s="13">
        <v>0</v>
      </c>
    </row>
    <row r="59" spans="1:5" x14ac:dyDescent="0.25">
      <c r="A59" s="11">
        <v>11</v>
      </c>
      <c r="B59" s="9" t="str">
        <f t="shared" si="1"/>
        <v>Gelondonggede</v>
      </c>
      <c r="C59" s="11">
        <v>1110</v>
      </c>
      <c r="D59" s="12">
        <v>7.66</v>
      </c>
      <c r="E59" s="13">
        <v>1</v>
      </c>
    </row>
    <row r="60" spans="1:5" x14ac:dyDescent="0.25">
      <c r="A60" s="11">
        <v>11</v>
      </c>
      <c r="B60" s="9" t="str">
        <f t="shared" si="1"/>
        <v>Gelondonggede</v>
      </c>
      <c r="C60" s="11">
        <v>1110</v>
      </c>
      <c r="D60" s="12">
        <v>6.2</v>
      </c>
      <c r="E60" s="13">
        <v>0</v>
      </c>
    </row>
    <row r="61" spans="1:5" x14ac:dyDescent="0.25">
      <c r="A61" s="11">
        <v>11</v>
      </c>
      <c r="B61" s="9" t="str">
        <f t="shared" si="1"/>
        <v>Gelondonggede</v>
      </c>
      <c r="C61" s="11">
        <v>1110</v>
      </c>
      <c r="D61" s="12">
        <v>6.3</v>
      </c>
      <c r="E61" s="13">
        <v>0</v>
      </c>
    </row>
    <row r="62" spans="1:5" x14ac:dyDescent="0.25">
      <c r="A62" s="11">
        <v>11</v>
      </c>
      <c r="B62" s="9" t="str">
        <f t="shared" si="1"/>
        <v>Gelondonggede</v>
      </c>
      <c r="C62" s="11">
        <v>1110</v>
      </c>
      <c r="D62" s="12">
        <v>7.04</v>
      </c>
      <c r="E62" s="13">
        <v>0</v>
      </c>
    </row>
    <row r="63" spans="1:5" x14ac:dyDescent="0.25">
      <c r="A63" s="11">
        <v>11</v>
      </c>
      <c r="B63" s="9" t="str">
        <f t="shared" si="1"/>
        <v>Gelondonggede</v>
      </c>
      <c r="C63" s="11">
        <v>1110</v>
      </c>
      <c r="D63" s="12">
        <v>5.26</v>
      </c>
      <c r="E63" s="13">
        <v>1</v>
      </c>
    </row>
    <row r="64" spans="1:5" x14ac:dyDescent="0.25">
      <c r="A64" s="11">
        <v>11</v>
      </c>
      <c r="B64" s="9" t="str">
        <f t="shared" si="1"/>
        <v>Gelondonggede</v>
      </c>
      <c r="C64" s="11">
        <v>1110</v>
      </c>
      <c r="D64" s="12">
        <v>2.8</v>
      </c>
      <c r="E64" s="13">
        <v>1</v>
      </c>
    </row>
    <row r="65" spans="1:5" x14ac:dyDescent="0.25">
      <c r="A65" s="11">
        <v>11</v>
      </c>
      <c r="B65" s="9" t="str">
        <f t="shared" si="1"/>
        <v>Gelondonggede</v>
      </c>
      <c r="C65" s="11">
        <v>1110</v>
      </c>
      <c r="D65" s="14">
        <v>9.51</v>
      </c>
      <c r="E65" s="13">
        <v>1</v>
      </c>
    </row>
    <row r="66" spans="1:5" x14ac:dyDescent="0.25">
      <c r="A66" s="11">
        <v>11</v>
      </c>
      <c r="B66" s="9" t="str">
        <f t="shared" ref="B66:B80" si="2">IF(A66=11,"Gelondonggede",IF(A66=12,"Brondong", IF(A66=13,"Padikde Talango",IF(A66=14,"Mayangan", IF(A66=15,"Pulau Santan")))))</f>
        <v>Gelondonggede</v>
      </c>
      <c r="C66" s="11">
        <v>1110</v>
      </c>
      <c r="D66" s="14">
        <v>6.83</v>
      </c>
      <c r="E66" s="13">
        <v>0</v>
      </c>
    </row>
    <row r="67" spans="1:5" x14ac:dyDescent="0.25">
      <c r="A67" s="11">
        <v>11</v>
      </c>
      <c r="B67" s="9" t="str">
        <f t="shared" si="2"/>
        <v>Gelondonggede</v>
      </c>
      <c r="C67" s="11">
        <v>1110</v>
      </c>
      <c r="D67" s="15">
        <v>3</v>
      </c>
      <c r="E67" s="13">
        <v>1</v>
      </c>
    </row>
    <row r="68" spans="1:5" x14ac:dyDescent="0.25">
      <c r="A68" s="11">
        <v>11</v>
      </c>
      <c r="B68" s="9" t="str">
        <f t="shared" si="2"/>
        <v>Gelondonggede</v>
      </c>
      <c r="C68" s="11">
        <v>1110</v>
      </c>
      <c r="D68" s="12">
        <v>19.55</v>
      </c>
      <c r="E68" s="13">
        <v>1</v>
      </c>
    </row>
    <row r="69" spans="1:5" x14ac:dyDescent="0.25">
      <c r="A69" s="11">
        <v>11</v>
      </c>
      <c r="B69" s="9" t="str">
        <f t="shared" si="2"/>
        <v>Gelondonggede</v>
      </c>
      <c r="C69" s="11">
        <v>1110</v>
      </c>
      <c r="D69" s="12">
        <v>10.199999999999999</v>
      </c>
      <c r="E69" s="13">
        <v>0</v>
      </c>
    </row>
    <row r="70" spans="1:5" x14ac:dyDescent="0.25">
      <c r="A70" s="11">
        <v>11</v>
      </c>
      <c r="B70" s="9" t="str">
        <f t="shared" si="2"/>
        <v>Gelondonggede</v>
      </c>
      <c r="C70" s="11">
        <v>1110</v>
      </c>
      <c r="D70" s="12">
        <v>14.3</v>
      </c>
      <c r="E70" s="13">
        <v>0</v>
      </c>
    </row>
    <row r="71" spans="1:5" x14ac:dyDescent="0.25">
      <c r="A71" s="11">
        <v>11</v>
      </c>
      <c r="B71" s="9" t="str">
        <f t="shared" si="2"/>
        <v>Gelondonggede</v>
      </c>
      <c r="C71" s="11">
        <v>1110</v>
      </c>
      <c r="D71" s="12">
        <v>12.36</v>
      </c>
      <c r="E71" s="13">
        <v>0</v>
      </c>
    </row>
    <row r="72" spans="1:5" x14ac:dyDescent="0.25">
      <c r="A72" s="11">
        <v>11</v>
      </c>
      <c r="B72" s="9" t="str">
        <f t="shared" si="2"/>
        <v>Gelondonggede</v>
      </c>
      <c r="C72" s="11">
        <v>1110</v>
      </c>
      <c r="D72" s="12">
        <v>8.58</v>
      </c>
      <c r="E72" s="13">
        <v>0</v>
      </c>
    </row>
    <row r="73" spans="1:5" x14ac:dyDescent="0.25">
      <c r="A73" s="11">
        <v>11</v>
      </c>
      <c r="B73" s="9" t="str">
        <f t="shared" si="2"/>
        <v>Gelondonggede</v>
      </c>
      <c r="C73" s="11">
        <v>1110</v>
      </c>
      <c r="D73" s="12">
        <v>10.93</v>
      </c>
      <c r="E73" s="13">
        <v>1</v>
      </c>
    </row>
    <row r="74" spans="1:5" x14ac:dyDescent="0.25">
      <c r="A74" s="11">
        <v>11</v>
      </c>
      <c r="B74" s="9" t="str">
        <f t="shared" si="2"/>
        <v>Gelondonggede</v>
      </c>
      <c r="C74" s="11">
        <v>1110</v>
      </c>
      <c r="D74" s="12">
        <v>9.27</v>
      </c>
      <c r="E74" s="13">
        <v>1</v>
      </c>
    </row>
    <row r="75" spans="1:5" x14ac:dyDescent="0.25">
      <c r="A75" s="11">
        <v>11</v>
      </c>
      <c r="B75" s="9" t="str">
        <f t="shared" si="2"/>
        <v>Gelondonggede</v>
      </c>
      <c r="C75" s="11">
        <v>1110</v>
      </c>
      <c r="D75" s="12">
        <v>8.4</v>
      </c>
      <c r="E75" s="13">
        <v>0</v>
      </c>
    </row>
    <row r="76" spans="1:5" x14ac:dyDescent="0.25">
      <c r="A76" s="11">
        <v>11</v>
      </c>
      <c r="B76" s="9" t="str">
        <f t="shared" si="2"/>
        <v>Gelondonggede</v>
      </c>
      <c r="C76" s="11">
        <v>1110</v>
      </c>
      <c r="D76" s="12">
        <v>6.75</v>
      </c>
      <c r="E76" s="13">
        <v>0</v>
      </c>
    </row>
    <row r="77" spans="1:5" x14ac:dyDescent="0.25">
      <c r="A77" s="11">
        <v>11</v>
      </c>
      <c r="B77" s="9" t="str">
        <f t="shared" si="2"/>
        <v>Gelondonggede</v>
      </c>
      <c r="C77" s="11">
        <v>1110</v>
      </c>
      <c r="D77" s="12">
        <v>7.42</v>
      </c>
      <c r="E77" s="13">
        <v>1</v>
      </c>
    </row>
    <row r="78" spans="1:5" x14ac:dyDescent="0.25">
      <c r="A78" s="11">
        <v>11</v>
      </c>
      <c r="B78" s="9" t="str">
        <f t="shared" si="2"/>
        <v>Gelondonggede</v>
      </c>
      <c r="C78" s="11">
        <v>1110</v>
      </c>
      <c r="D78" s="12">
        <v>5.42</v>
      </c>
      <c r="E78" s="13">
        <v>0</v>
      </c>
    </row>
    <row r="79" spans="1:5" x14ac:dyDescent="0.25">
      <c r="A79" s="11">
        <v>11</v>
      </c>
      <c r="B79" s="9" t="str">
        <f t="shared" si="2"/>
        <v>Gelondonggede</v>
      </c>
      <c r="C79" s="11">
        <v>1110</v>
      </c>
      <c r="D79" s="12">
        <v>4.4400000000000004</v>
      </c>
      <c r="E79" s="13">
        <v>0</v>
      </c>
    </row>
    <row r="80" spans="1:5" x14ac:dyDescent="0.25">
      <c r="A80" s="11">
        <v>11</v>
      </c>
      <c r="B80" s="9" t="str">
        <f t="shared" si="2"/>
        <v>Gelondonggede</v>
      </c>
      <c r="C80" s="11">
        <v>1110</v>
      </c>
      <c r="D80" s="12">
        <v>5.23</v>
      </c>
      <c r="E80" s="13">
        <v>0</v>
      </c>
    </row>
  </sheetData>
  <sortState ref="A2:E80">
    <sortCondition descending="1" ref="E2"/>
  </sortState>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9"/>
  <sheetViews>
    <sheetView zoomScale="90" zoomScaleNormal="90" workbookViewId="0"/>
  </sheetViews>
  <sheetFormatPr defaultRowHeight="15" x14ac:dyDescent="0.25"/>
  <cols>
    <col min="1" max="1" width="11.28515625" bestFit="1" customWidth="1"/>
    <col min="7" max="7" width="13.28515625" bestFit="1" customWidth="1"/>
  </cols>
  <sheetData>
    <row r="1" spans="1:7" x14ac:dyDescent="0.25">
      <c r="A1" s="7" t="s">
        <v>5</v>
      </c>
      <c r="B1" s="7" t="s">
        <v>3</v>
      </c>
      <c r="C1" s="7" t="s">
        <v>4</v>
      </c>
      <c r="G1" s="4"/>
    </row>
    <row r="2" spans="1:7" x14ac:dyDescent="0.25">
      <c r="A2" s="8" t="s">
        <v>6</v>
      </c>
      <c r="B2" s="9">
        <v>42</v>
      </c>
      <c r="C2" s="9">
        <v>1</v>
      </c>
    </row>
    <row r="3" spans="1:7" x14ac:dyDescent="0.25">
      <c r="A3" s="8" t="s">
        <v>6</v>
      </c>
      <c r="B3" s="9">
        <v>43</v>
      </c>
      <c r="C3" s="9">
        <v>1</v>
      </c>
    </row>
    <row r="4" spans="1:7" x14ac:dyDescent="0.25">
      <c r="A4" s="8" t="s">
        <v>6</v>
      </c>
      <c r="B4" s="9">
        <v>21</v>
      </c>
      <c r="C4" s="9">
        <v>0</v>
      </c>
    </row>
    <row r="5" spans="1:7" x14ac:dyDescent="0.25">
      <c r="A5" s="8" t="s">
        <v>6</v>
      </c>
      <c r="B5" s="9">
        <v>10</v>
      </c>
      <c r="C5" s="9">
        <v>1</v>
      </c>
    </row>
    <row r="6" spans="1:7" x14ac:dyDescent="0.25">
      <c r="A6" s="8" t="s">
        <v>6</v>
      </c>
      <c r="B6" s="9">
        <v>14</v>
      </c>
      <c r="C6" s="9">
        <v>0</v>
      </c>
    </row>
    <row r="7" spans="1:7" x14ac:dyDescent="0.25">
      <c r="A7" s="8" t="s">
        <v>6</v>
      </c>
      <c r="B7" s="9">
        <v>32</v>
      </c>
      <c r="C7" s="9">
        <v>0</v>
      </c>
    </row>
    <row r="8" spans="1:7" x14ac:dyDescent="0.25">
      <c r="A8" s="8" t="s">
        <v>6</v>
      </c>
      <c r="B8" s="9">
        <v>27</v>
      </c>
      <c r="C8" s="9">
        <v>0</v>
      </c>
    </row>
    <row r="9" spans="1:7" x14ac:dyDescent="0.25">
      <c r="A9" s="8" t="s">
        <v>6</v>
      </c>
      <c r="B9" s="9">
        <v>19</v>
      </c>
      <c r="C9" s="9">
        <v>1</v>
      </c>
    </row>
    <row r="10" spans="1:7" x14ac:dyDescent="0.25">
      <c r="A10" s="8" t="s">
        <v>6</v>
      </c>
      <c r="B10" s="9">
        <v>18</v>
      </c>
      <c r="C10" s="9">
        <v>1</v>
      </c>
    </row>
    <row r="11" spans="1:7" x14ac:dyDescent="0.25">
      <c r="A11" s="8" t="s">
        <v>6</v>
      </c>
      <c r="B11" s="9">
        <v>22</v>
      </c>
      <c r="C11" s="9">
        <v>1</v>
      </c>
    </row>
    <row r="12" spans="1:7" x14ac:dyDescent="0.25">
      <c r="A12" s="8" t="s">
        <v>6</v>
      </c>
      <c r="B12" s="9">
        <v>32</v>
      </c>
      <c r="C12" s="9">
        <v>0</v>
      </c>
    </row>
    <row r="13" spans="1:7" x14ac:dyDescent="0.25">
      <c r="A13" s="8" t="s">
        <v>6</v>
      </c>
      <c r="B13" s="9">
        <v>42</v>
      </c>
      <c r="C13" s="9">
        <v>1</v>
      </c>
    </row>
    <row r="14" spans="1:7" x14ac:dyDescent="0.25">
      <c r="A14" s="8" t="s">
        <v>6</v>
      </c>
      <c r="B14" s="9">
        <v>34</v>
      </c>
      <c r="C14" s="9">
        <v>1</v>
      </c>
    </row>
    <row r="15" spans="1:7" x14ac:dyDescent="0.25">
      <c r="A15" s="8" t="s">
        <v>6</v>
      </c>
      <c r="B15" s="9">
        <v>36</v>
      </c>
      <c r="C15" s="9">
        <v>1</v>
      </c>
    </row>
    <row r="16" spans="1:7" x14ac:dyDescent="0.25">
      <c r="A16" s="8" t="s">
        <v>6</v>
      </c>
      <c r="B16" s="9">
        <v>38</v>
      </c>
      <c r="C16" s="9">
        <v>1</v>
      </c>
    </row>
    <row r="17" spans="1:3" x14ac:dyDescent="0.25">
      <c r="A17" s="8" t="s">
        <v>6</v>
      </c>
      <c r="B17" s="9">
        <v>25</v>
      </c>
      <c r="C17" s="9">
        <v>1</v>
      </c>
    </row>
    <row r="18" spans="1:3" x14ac:dyDescent="0.25">
      <c r="A18" s="8" t="s">
        <v>6</v>
      </c>
      <c r="B18" s="9">
        <v>32</v>
      </c>
      <c r="C18" s="9">
        <v>0</v>
      </c>
    </row>
    <row r="19" spans="1:3" x14ac:dyDescent="0.25">
      <c r="A19" s="8" t="s">
        <v>6</v>
      </c>
      <c r="B19" s="9">
        <v>22</v>
      </c>
      <c r="C19" s="9">
        <v>0</v>
      </c>
    </row>
    <row r="20" spans="1:3" x14ac:dyDescent="0.25">
      <c r="A20" s="8" t="s">
        <v>6</v>
      </c>
      <c r="B20" s="9">
        <v>21</v>
      </c>
      <c r="C20" s="9">
        <v>1</v>
      </c>
    </row>
    <row r="21" spans="1:3" x14ac:dyDescent="0.25">
      <c r="A21" s="8" t="s">
        <v>6</v>
      </c>
      <c r="B21" s="9">
        <v>20</v>
      </c>
      <c r="C21" s="9">
        <v>0</v>
      </c>
    </row>
    <row r="22" spans="1:3" x14ac:dyDescent="0.25">
      <c r="A22" s="8" t="s">
        <v>6</v>
      </c>
      <c r="B22" s="9">
        <v>31</v>
      </c>
      <c r="C22" s="9">
        <v>0</v>
      </c>
    </row>
    <row r="23" spans="1:3" x14ac:dyDescent="0.25">
      <c r="A23" s="8" t="s">
        <v>6</v>
      </c>
      <c r="B23" s="9">
        <v>18</v>
      </c>
      <c r="C23" s="9">
        <v>1</v>
      </c>
    </row>
    <row r="24" spans="1:3" x14ac:dyDescent="0.25">
      <c r="A24" s="8" t="s">
        <v>6</v>
      </c>
      <c r="B24" s="9">
        <v>15</v>
      </c>
      <c r="C24" s="9">
        <v>1</v>
      </c>
    </row>
    <row r="25" spans="1:3" x14ac:dyDescent="0.25">
      <c r="A25" s="8" t="s">
        <v>6</v>
      </c>
      <c r="B25" s="9">
        <v>33</v>
      </c>
      <c r="C25" s="9">
        <v>0</v>
      </c>
    </row>
    <row r="26" spans="1:3" x14ac:dyDescent="0.25">
      <c r="A26" s="8" t="s">
        <v>6</v>
      </c>
      <c r="B26" s="9">
        <v>39</v>
      </c>
      <c r="C26" s="9">
        <v>0</v>
      </c>
    </row>
    <row r="27" spans="1:3" x14ac:dyDescent="0.25">
      <c r="A27" s="8" t="s">
        <v>6</v>
      </c>
      <c r="B27" s="9">
        <v>30</v>
      </c>
      <c r="C27" s="9">
        <v>1</v>
      </c>
    </row>
    <row r="28" spans="1:3" x14ac:dyDescent="0.25">
      <c r="A28" s="8" t="s">
        <v>6</v>
      </c>
      <c r="B28" s="9">
        <v>20</v>
      </c>
      <c r="C28" s="9">
        <v>0</v>
      </c>
    </row>
    <row r="29" spans="1:3" x14ac:dyDescent="0.25">
      <c r="A29" s="8" t="s">
        <v>6</v>
      </c>
      <c r="B29" s="9">
        <v>41</v>
      </c>
      <c r="C29" s="9">
        <v>0</v>
      </c>
    </row>
    <row r="30" spans="1:3" x14ac:dyDescent="0.25">
      <c r="A30" s="8" t="s">
        <v>6</v>
      </c>
      <c r="B30" s="9">
        <v>40</v>
      </c>
      <c r="C30" s="9">
        <v>1</v>
      </c>
    </row>
    <row r="31" spans="1:3" x14ac:dyDescent="0.25">
      <c r="A31" s="8" t="s">
        <v>6</v>
      </c>
      <c r="B31" s="9">
        <v>26</v>
      </c>
      <c r="C31" s="9">
        <v>0</v>
      </c>
    </row>
    <row r="32" spans="1:3" x14ac:dyDescent="0.25">
      <c r="A32" s="1"/>
      <c r="B32" s="3"/>
    </row>
    <row r="33" spans="1:2" x14ac:dyDescent="0.25">
      <c r="A33" s="1"/>
      <c r="B33" s="3"/>
    </row>
    <row r="34" spans="1:2" x14ac:dyDescent="0.25">
      <c r="A34" s="1"/>
      <c r="B34" s="3"/>
    </row>
    <row r="35" spans="1:2" x14ac:dyDescent="0.25">
      <c r="A35" s="1"/>
      <c r="B35" s="3"/>
    </row>
    <row r="36" spans="1:2" x14ac:dyDescent="0.25">
      <c r="A36" s="1"/>
      <c r="B36" s="3"/>
    </row>
    <row r="37" spans="1:2" x14ac:dyDescent="0.25">
      <c r="A37" s="1"/>
      <c r="B37" s="3"/>
    </row>
    <row r="38" spans="1:2" x14ac:dyDescent="0.25">
      <c r="A38" s="1"/>
      <c r="B38" s="3"/>
    </row>
    <row r="39" spans="1:2" x14ac:dyDescent="0.25">
      <c r="A39" s="1"/>
      <c r="B39" s="3"/>
    </row>
    <row r="40" spans="1:2" x14ac:dyDescent="0.25">
      <c r="A40" s="1"/>
      <c r="B40" s="3"/>
    </row>
    <row r="41" spans="1:2" x14ac:dyDescent="0.25">
      <c r="A41" s="1"/>
      <c r="B41" s="3"/>
    </row>
    <row r="42" spans="1:2" x14ac:dyDescent="0.25">
      <c r="A42" s="1"/>
      <c r="B42" s="3"/>
    </row>
    <row r="43" spans="1:2" x14ac:dyDescent="0.25">
      <c r="A43" s="1"/>
      <c r="B43" s="3"/>
    </row>
    <row r="44" spans="1:2" x14ac:dyDescent="0.25">
      <c r="A44" s="1"/>
      <c r="B44" s="3"/>
    </row>
    <row r="45" spans="1:2" x14ac:dyDescent="0.25">
      <c r="A45" s="1"/>
      <c r="B45" s="3"/>
    </row>
    <row r="46" spans="1:2" x14ac:dyDescent="0.25">
      <c r="A46" s="1"/>
      <c r="B46" s="3"/>
    </row>
    <row r="47" spans="1:2" x14ac:dyDescent="0.25">
      <c r="A47" s="1"/>
      <c r="B47" s="3"/>
    </row>
    <row r="48" spans="1:2" x14ac:dyDescent="0.25">
      <c r="A48" s="1"/>
      <c r="B48" s="3"/>
    </row>
    <row r="49" spans="1:2" x14ac:dyDescent="0.25">
      <c r="A49" s="1"/>
      <c r="B49" s="3"/>
    </row>
    <row r="50" spans="1:2" x14ac:dyDescent="0.25">
      <c r="A50" s="1"/>
      <c r="B50" s="3"/>
    </row>
    <row r="51" spans="1:2" x14ac:dyDescent="0.25">
      <c r="A51" s="1"/>
      <c r="B51" s="3"/>
    </row>
    <row r="52" spans="1:2" x14ac:dyDescent="0.25">
      <c r="A52" s="1"/>
      <c r="B52" s="3"/>
    </row>
    <row r="53" spans="1:2" x14ac:dyDescent="0.25">
      <c r="A53" s="1"/>
      <c r="B53" s="3"/>
    </row>
    <row r="54" spans="1:2" x14ac:dyDescent="0.25">
      <c r="A54" s="1"/>
      <c r="B54" s="3"/>
    </row>
    <row r="55" spans="1:2" x14ac:dyDescent="0.25">
      <c r="A55" s="1"/>
      <c r="B55" s="3"/>
    </row>
    <row r="56" spans="1:2" x14ac:dyDescent="0.25">
      <c r="A56" s="1"/>
      <c r="B56" s="3"/>
    </row>
    <row r="57" spans="1:2" x14ac:dyDescent="0.25">
      <c r="A57" s="1"/>
      <c r="B57" s="3"/>
    </row>
    <row r="58" spans="1:2" x14ac:dyDescent="0.25">
      <c r="A58" s="1"/>
      <c r="B58" s="3"/>
    </row>
    <row r="59" spans="1:2" x14ac:dyDescent="0.25">
      <c r="A59" s="1"/>
      <c r="B59" s="3"/>
    </row>
    <row r="60" spans="1:2" x14ac:dyDescent="0.25">
      <c r="A60" s="1"/>
      <c r="B60" s="3"/>
    </row>
    <row r="61" spans="1:2" x14ac:dyDescent="0.25">
      <c r="A61" s="1"/>
      <c r="B61" s="3"/>
    </row>
    <row r="62" spans="1:2" x14ac:dyDescent="0.25">
      <c r="A62" s="1"/>
      <c r="B62" s="3"/>
    </row>
    <row r="63" spans="1:2" x14ac:dyDescent="0.25">
      <c r="A63" s="1"/>
      <c r="B63" s="3"/>
    </row>
    <row r="64" spans="1:2" x14ac:dyDescent="0.25">
      <c r="A64" s="1"/>
      <c r="B64" s="3"/>
    </row>
    <row r="65" spans="1:2" x14ac:dyDescent="0.25">
      <c r="A65" s="1"/>
      <c r="B65" s="3"/>
    </row>
    <row r="66" spans="1:2" x14ac:dyDescent="0.25">
      <c r="A66" s="1"/>
      <c r="B66" s="3"/>
    </row>
    <row r="67" spans="1:2" x14ac:dyDescent="0.25">
      <c r="A67" s="1"/>
      <c r="B67" s="3"/>
    </row>
    <row r="68" spans="1:2" x14ac:dyDescent="0.25">
      <c r="A68" s="1"/>
      <c r="B68" s="3"/>
    </row>
    <row r="69" spans="1:2" x14ac:dyDescent="0.25">
      <c r="A69" s="1"/>
      <c r="B69" s="3"/>
    </row>
    <row r="70" spans="1:2" x14ac:dyDescent="0.25">
      <c r="A70" s="1"/>
      <c r="B70" s="3"/>
    </row>
    <row r="71" spans="1:2" x14ac:dyDescent="0.25">
      <c r="A71" s="1"/>
      <c r="B71" s="3"/>
    </row>
    <row r="72" spans="1:2" x14ac:dyDescent="0.25">
      <c r="A72" s="1"/>
      <c r="B72" s="2"/>
    </row>
    <row r="73" spans="1:2" x14ac:dyDescent="0.25">
      <c r="A73" s="1"/>
      <c r="B73" s="2"/>
    </row>
    <row r="74" spans="1:2" x14ac:dyDescent="0.25">
      <c r="A74" s="1"/>
      <c r="B74" s="2"/>
    </row>
    <row r="75" spans="1:2" x14ac:dyDescent="0.25">
      <c r="A75" s="1"/>
      <c r="B75" s="2"/>
    </row>
    <row r="76" spans="1:2" x14ac:dyDescent="0.25">
      <c r="A76" s="1"/>
      <c r="B76" s="2"/>
    </row>
    <row r="77" spans="1:2" x14ac:dyDescent="0.25">
      <c r="A77" s="1"/>
      <c r="B77" s="2"/>
    </row>
    <row r="78" spans="1:2" x14ac:dyDescent="0.25">
      <c r="A78" s="1"/>
      <c r="B78" s="2"/>
    </row>
    <row r="79" spans="1:2" x14ac:dyDescent="0.25">
      <c r="A79" s="1"/>
      <c r="B79" s="2"/>
    </row>
    <row r="80" spans="1:2" x14ac:dyDescent="0.25">
      <c r="A80" s="1"/>
      <c r="B80" s="2"/>
    </row>
    <row r="81" spans="1:2" x14ac:dyDescent="0.25">
      <c r="A81" s="1"/>
      <c r="B81" s="2"/>
    </row>
    <row r="82" spans="1:2" x14ac:dyDescent="0.25">
      <c r="A82" s="1"/>
      <c r="B82" s="2"/>
    </row>
    <row r="83" spans="1:2" x14ac:dyDescent="0.25">
      <c r="A83" s="1"/>
      <c r="B83" s="2"/>
    </row>
    <row r="84" spans="1:2" x14ac:dyDescent="0.25">
      <c r="A84" s="1"/>
      <c r="B84" s="2"/>
    </row>
    <row r="85" spans="1:2" x14ac:dyDescent="0.25">
      <c r="A85" s="1"/>
      <c r="B85" s="2"/>
    </row>
    <row r="86" spans="1:2" x14ac:dyDescent="0.25">
      <c r="A86" s="1"/>
      <c r="B86" s="2"/>
    </row>
    <row r="87" spans="1:2" x14ac:dyDescent="0.25">
      <c r="A87" s="1"/>
      <c r="B87" s="2"/>
    </row>
    <row r="88" spans="1:2" x14ac:dyDescent="0.25">
      <c r="A88" s="1"/>
      <c r="B88" s="2"/>
    </row>
    <row r="89" spans="1:2" x14ac:dyDescent="0.25">
      <c r="A89" s="1"/>
      <c r="B89" s="2"/>
    </row>
    <row r="90" spans="1:2" x14ac:dyDescent="0.25">
      <c r="A90" s="1"/>
      <c r="B90" s="2"/>
    </row>
    <row r="91" spans="1:2" x14ac:dyDescent="0.25">
      <c r="A91" s="1"/>
      <c r="B91" s="2"/>
    </row>
    <row r="92" spans="1:2" x14ac:dyDescent="0.25">
      <c r="A92" s="1"/>
      <c r="B92" s="2"/>
    </row>
    <row r="93" spans="1:2" x14ac:dyDescent="0.25">
      <c r="A93" s="1"/>
      <c r="B93" s="2"/>
    </row>
    <row r="94" spans="1:2" x14ac:dyDescent="0.25">
      <c r="A94" s="1"/>
      <c r="B94" s="2"/>
    </row>
    <row r="95" spans="1:2" x14ac:dyDescent="0.25">
      <c r="A95" s="1"/>
      <c r="B95" s="2"/>
    </row>
    <row r="96" spans="1:2" x14ac:dyDescent="0.25">
      <c r="A96" s="1"/>
      <c r="B96" s="2"/>
    </row>
    <row r="97" spans="1:2" x14ac:dyDescent="0.25">
      <c r="A97" s="1"/>
      <c r="B97" s="2"/>
    </row>
    <row r="98" spans="1:2" x14ac:dyDescent="0.25">
      <c r="A98" s="1"/>
      <c r="B98" s="2"/>
    </row>
    <row r="99" spans="1:2" x14ac:dyDescent="0.25">
      <c r="A99" s="1"/>
      <c r="B99" s="2"/>
    </row>
    <row r="100" spans="1:2" x14ac:dyDescent="0.25">
      <c r="A100" s="1"/>
      <c r="B100" s="2"/>
    </row>
    <row r="101" spans="1:2" x14ac:dyDescent="0.25">
      <c r="A101" s="1"/>
      <c r="B101" s="2"/>
    </row>
    <row r="102" spans="1:2" x14ac:dyDescent="0.25">
      <c r="A102" s="1"/>
      <c r="B102" s="2"/>
    </row>
    <row r="103" spans="1:2" x14ac:dyDescent="0.25">
      <c r="A103" s="1"/>
      <c r="B103" s="2"/>
    </row>
    <row r="104" spans="1:2" x14ac:dyDescent="0.25">
      <c r="A104" s="1"/>
      <c r="B104" s="2"/>
    </row>
    <row r="105" spans="1:2" x14ac:dyDescent="0.25">
      <c r="A105" s="1"/>
      <c r="B105" s="2"/>
    </row>
    <row r="106" spans="1:2" x14ac:dyDescent="0.25">
      <c r="A106" s="1"/>
      <c r="B106" s="2"/>
    </row>
    <row r="107" spans="1:2" x14ac:dyDescent="0.25">
      <c r="A107" s="1"/>
      <c r="B107" s="2"/>
    </row>
    <row r="108" spans="1:2" x14ac:dyDescent="0.25">
      <c r="A108" s="1"/>
      <c r="B108" s="2"/>
    </row>
    <row r="109" spans="1:2" x14ac:dyDescent="0.25">
      <c r="A109" s="1"/>
      <c r="B109" s="2"/>
    </row>
    <row r="110" spans="1:2" x14ac:dyDescent="0.25">
      <c r="A110" s="1"/>
      <c r="B110" s="2"/>
    </row>
    <row r="111" spans="1:2" x14ac:dyDescent="0.25">
      <c r="A111" s="1"/>
      <c r="B111" s="2"/>
    </row>
    <row r="112" spans="1:2" x14ac:dyDescent="0.25">
      <c r="A112" s="1"/>
      <c r="B112" s="2"/>
    </row>
    <row r="113" spans="1:2" x14ac:dyDescent="0.25">
      <c r="A113" s="1"/>
      <c r="B113" s="2"/>
    </row>
    <row r="114" spans="1:2" x14ac:dyDescent="0.25">
      <c r="A114" s="1"/>
      <c r="B114" s="2"/>
    </row>
    <row r="115" spans="1:2" x14ac:dyDescent="0.25">
      <c r="A115" s="1"/>
      <c r="B115" s="2"/>
    </row>
    <row r="116" spans="1:2" x14ac:dyDescent="0.25">
      <c r="A116" s="1"/>
      <c r="B116" s="2"/>
    </row>
    <row r="117" spans="1:2" x14ac:dyDescent="0.25">
      <c r="A117" s="1"/>
      <c r="B117" s="2"/>
    </row>
    <row r="118" spans="1:2" x14ac:dyDescent="0.25">
      <c r="A118" s="1"/>
      <c r="B118" s="2"/>
    </row>
    <row r="119" spans="1:2" x14ac:dyDescent="0.25">
      <c r="A119" s="1"/>
      <c r="B119" s="2"/>
    </row>
    <row r="120" spans="1:2" x14ac:dyDescent="0.25">
      <c r="A120" s="1"/>
      <c r="B120" s="2"/>
    </row>
    <row r="121" spans="1:2" x14ac:dyDescent="0.25">
      <c r="A121" s="1"/>
      <c r="B121" s="2"/>
    </row>
    <row r="122" spans="1:2" x14ac:dyDescent="0.25">
      <c r="A122" s="1"/>
      <c r="B122" s="2"/>
    </row>
    <row r="123" spans="1:2" x14ac:dyDescent="0.25">
      <c r="A123" s="1"/>
      <c r="B123" s="2"/>
    </row>
    <row r="124" spans="1:2" x14ac:dyDescent="0.25">
      <c r="A124" s="1"/>
      <c r="B124" s="2"/>
    </row>
    <row r="125" spans="1:2" x14ac:dyDescent="0.25">
      <c r="A125" s="1"/>
      <c r="B125" s="2"/>
    </row>
    <row r="126" spans="1:2" x14ac:dyDescent="0.25">
      <c r="A126" s="1"/>
      <c r="B126" s="2"/>
    </row>
    <row r="127" spans="1:2" x14ac:dyDescent="0.25">
      <c r="A127" s="1"/>
      <c r="B127" s="2"/>
    </row>
    <row r="128" spans="1:2" x14ac:dyDescent="0.25">
      <c r="A128" s="1"/>
      <c r="B128" s="2"/>
    </row>
    <row r="129" spans="1:2" x14ac:dyDescent="0.25">
      <c r="A129" s="1"/>
      <c r="B129" s="2"/>
    </row>
    <row r="130" spans="1:2" x14ac:dyDescent="0.25">
      <c r="A130" s="1"/>
      <c r="B130" s="2"/>
    </row>
    <row r="131" spans="1:2" x14ac:dyDescent="0.25">
      <c r="A131" s="1"/>
      <c r="B131" s="2"/>
    </row>
    <row r="132" spans="1:2" x14ac:dyDescent="0.25">
      <c r="A132" s="1"/>
      <c r="B132" s="2"/>
    </row>
    <row r="133" spans="1:2" x14ac:dyDescent="0.25">
      <c r="A133" s="1"/>
      <c r="B133" s="2"/>
    </row>
    <row r="134" spans="1:2" x14ac:dyDescent="0.25">
      <c r="A134" s="1"/>
      <c r="B134" s="2"/>
    </row>
    <row r="135" spans="1:2" x14ac:dyDescent="0.25">
      <c r="A135" s="1"/>
      <c r="B135" s="2"/>
    </row>
    <row r="136" spans="1:2" x14ac:dyDescent="0.25">
      <c r="A136" s="1"/>
      <c r="B136" s="2"/>
    </row>
    <row r="137" spans="1:2" x14ac:dyDescent="0.25">
      <c r="A137" s="1"/>
      <c r="B137" s="2"/>
    </row>
    <row r="138" spans="1:2" x14ac:dyDescent="0.25">
      <c r="A138" s="1"/>
      <c r="B138" s="2"/>
    </row>
    <row r="139" spans="1:2" x14ac:dyDescent="0.25">
      <c r="A139" s="1"/>
      <c r="B139" s="2"/>
    </row>
    <row r="140" spans="1:2" x14ac:dyDescent="0.25">
      <c r="A140" s="1"/>
      <c r="B140" s="2"/>
    </row>
    <row r="141" spans="1:2" x14ac:dyDescent="0.25">
      <c r="A141" s="1"/>
      <c r="B141" s="2"/>
    </row>
    <row r="142" spans="1:2" x14ac:dyDescent="0.25">
      <c r="A142" s="1"/>
      <c r="B142" s="2"/>
    </row>
    <row r="143" spans="1:2" x14ac:dyDescent="0.25">
      <c r="A143" s="1"/>
      <c r="B143" s="2"/>
    </row>
    <row r="144" spans="1:2" x14ac:dyDescent="0.25">
      <c r="A144" s="1"/>
      <c r="B144" s="2"/>
    </row>
    <row r="145" spans="1:2" x14ac:dyDescent="0.25">
      <c r="A145" s="1"/>
      <c r="B145" s="2"/>
    </row>
    <row r="146" spans="1:2" x14ac:dyDescent="0.25">
      <c r="A146" s="1"/>
      <c r="B146" s="2"/>
    </row>
    <row r="147" spans="1:2" x14ac:dyDescent="0.25">
      <c r="A147" s="1"/>
      <c r="B147" s="2"/>
    </row>
    <row r="148" spans="1:2" x14ac:dyDescent="0.25">
      <c r="A148" s="1"/>
      <c r="B148" s="2"/>
    </row>
    <row r="149" spans="1:2" x14ac:dyDescent="0.25">
      <c r="A149" s="1"/>
      <c r="B149" s="2"/>
    </row>
    <row r="150" spans="1:2" x14ac:dyDescent="0.25">
      <c r="A150" s="1"/>
      <c r="B150" s="2"/>
    </row>
    <row r="151" spans="1:2" x14ac:dyDescent="0.25">
      <c r="A151" s="1"/>
      <c r="B151" s="2"/>
    </row>
    <row r="152" spans="1:2" x14ac:dyDescent="0.25">
      <c r="A152" s="1"/>
      <c r="B152" s="2"/>
    </row>
    <row r="153" spans="1:2" x14ac:dyDescent="0.25">
      <c r="A153" s="1"/>
      <c r="B153" s="2"/>
    </row>
    <row r="154" spans="1:2" x14ac:dyDescent="0.25">
      <c r="A154" s="1"/>
      <c r="B154" s="2"/>
    </row>
    <row r="155" spans="1:2" x14ac:dyDescent="0.25">
      <c r="A155" s="1"/>
      <c r="B155" s="2"/>
    </row>
    <row r="156" spans="1:2" x14ac:dyDescent="0.25">
      <c r="A156" s="1"/>
      <c r="B156" s="2"/>
    </row>
    <row r="157" spans="1:2" x14ac:dyDescent="0.25">
      <c r="A157" s="1"/>
      <c r="B157" s="2"/>
    </row>
    <row r="158" spans="1:2" x14ac:dyDescent="0.25">
      <c r="A158" s="1"/>
      <c r="B158" s="2"/>
    </row>
    <row r="159" spans="1:2" x14ac:dyDescent="0.25">
      <c r="A159" s="1"/>
      <c r="B159" s="2"/>
    </row>
    <row r="160" spans="1:2" x14ac:dyDescent="0.25">
      <c r="A160" s="1"/>
      <c r="B160" s="2"/>
    </row>
    <row r="161" spans="1:2" x14ac:dyDescent="0.25">
      <c r="A161" s="1"/>
      <c r="B161" s="2"/>
    </row>
    <row r="162" spans="1:2" x14ac:dyDescent="0.25">
      <c r="A162" s="1"/>
      <c r="B162" s="2"/>
    </row>
    <row r="163" spans="1:2" x14ac:dyDescent="0.25">
      <c r="A163" s="1"/>
      <c r="B163" s="2"/>
    </row>
    <row r="164" spans="1:2" x14ac:dyDescent="0.25">
      <c r="A164" s="1"/>
      <c r="B164" s="2"/>
    </row>
    <row r="165" spans="1:2" x14ac:dyDescent="0.25">
      <c r="A165" s="1"/>
      <c r="B165" s="2"/>
    </row>
    <row r="166" spans="1:2" x14ac:dyDescent="0.25">
      <c r="A166" s="1"/>
      <c r="B166" s="2"/>
    </row>
    <row r="167" spans="1:2" x14ac:dyDescent="0.25">
      <c r="A167" s="1"/>
      <c r="B167" s="2"/>
    </row>
    <row r="168" spans="1:2" x14ac:dyDescent="0.25">
      <c r="A168" s="1"/>
      <c r="B168" s="2"/>
    </row>
    <row r="169" spans="1:2" x14ac:dyDescent="0.25">
      <c r="A169" s="1"/>
      <c r="B169" s="2"/>
    </row>
  </sheetData>
  <sortState ref="A2:C31">
    <sortCondition descending="1" ref="C2"/>
  </sortState>
  <pageMargins left="0.7" right="0.7" top="0.75" bottom="0.75" header="0.3" footer="0.3"/>
  <pageSetup orientation="portrait" horizontalDpi="4294967292"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A2492-76BB-42D8-A5DE-A491F9E3577E}">
  <dimension ref="A1:AB248"/>
  <sheetViews>
    <sheetView tabSelected="1" topLeftCell="J1" workbookViewId="0">
      <selection activeCell="O11" sqref="O11"/>
    </sheetView>
  </sheetViews>
  <sheetFormatPr defaultRowHeight="15" x14ac:dyDescent="0.25"/>
  <cols>
    <col min="1" max="3" width="9.140625" style="9"/>
    <col min="4" max="4" width="15.28515625" style="9" bestFit="1" customWidth="1"/>
    <col min="5" max="16" width="9.140625" style="9"/>
    <col min="17" max="17" width="15.28515625" style="9" bestFit="1" customWidth="1"/>
    <col min="18" max="19" width="9.140625" style="9"/>
  </cols>
  <sheetData>
    <row r="1" spans="1:28" x14ac:dyDescent="0.25">
      <c r="A1" s="17" t="s">
        <v>9</v>
      </c>
      <c r="B1" s="17"/>
      <c r="C1" s="18" t="s">
        <v>0</v>
      </c>
      <c r="D1" s="18" t="s">
        <v>1</v>
      </c>
      <c r="E1" s="18" t="s">
        <v>3</v>
      </c>
      <c r="F1" s="18" t="s">
        <v>2</v>
      </c>
      <c r="G1" s="18" t="s">
        <v>10</v>
      </c>
      <c r="H1" s="18"/>
      <c r="I1" s="18"/>
      <c r="J1" s="18"/>
      <c r="K1" s="18"/>
      <c r="L1" s="18"/>
      <c r="N1" s="19" t="s">
        <v>11</v>
      </c>
      <c r="O1" s="19"/>
      <c r="P1" s="18" t="s">
        <v>0</v>
      </c>
      <c r="Q1" s="10" t="s">
        <v>1</v>
      </c>
      <c r="R1" s="18" t="s">
        <v>12</v>
      </c>
      <c r="S1" s="20" t="s">
        <v>13</v>
      </c>
      <c r="T1" s="9"/>
      <c r="U1" s="9"/>
      <c r="V1" s="9"/>
      <c r="W1" s="9"/>
      <c r="X1" s="9"/>
      <c r="Y1" s="9"/>
      <c r="Z1" s="9"/>
      <c r="AA1" s="9"/>
      <c r="AB1" s="9"/>
    </row>
    <row r="2" spans="1:28" x14ac:dyDescent="0.25">
      <c r="C2" s="9">
        <v>11</v>
      </c>
      <c r="D2" s="9" t="str">
        <f>IF(C2=11,"Gelondonggede",IF(C2=12,"Brondong", IF(C2=13,"Padikde Talango",IF(C2=14,"Gelondonggede", IF(C2=15,"Brondong")))))</f>
        <v>Gelondonggede</v>
      </c>
      <c r="E2" s="21">
        <v>4.57</v>
      </c>
      <c r="F2" s="9">
        <v>1110</v>
      </c>
      <c r="G2" s="21">
        <v>63.6</v>
      </c>
      <c r="H2" s="22"/>
      <c r="I2" s="22"/>
      <c r="J2" s="22"/>
      <c r="K2" s="22"/>
      <c r="L2" s="22"/>
      <c r="P2" s="9">
        <v>14</v>
      </c>
      <c r="Q2" s="9" t="str">
        <f t="shared" ref="Q2:Q21" si="0">IF(P2=11,"Gelondonggede",IF(P2=12,"Brondong", IF(P2=13,"Padikde Talango",IF(P2=14,"Sendang Biru", IF(P2=15,"Prigi")))))</f>
        <v>Sendang Biru</v>
      </c>
      <c r="R2" s="21">
        <v>4.57</v>
      </c>
      <c r="S2" s="21">
        <v>9.1999999999999993</v>
      </c>
      <c r="T2" s="9"/>
      <c r="U2" s="9"/>
      <c r="V2" s="9"/>
      <c r="W2" s="9"/>
      <c r="X2" s="9"/>
      <c r="Y2" s="9"/>
      <c r="Z2" s="9"/>
      <c r="AA2" s="9"/>
      <c r="AB2" s="9"/>
    </row>
    <row r="3" spans="1:28" x14ac:dyDescent="0.25">
      <c r="C3" s="9">
        <v>11</v>
      </c>
      <c r="D3" s="9" t="str">
        <f>IF(C3=11,"Gelondonggede",IF(C3=12,"Brondong", IF(C3=13,"Padikde Talango",IF(C3=14,"Gelondonggede", IF(C3=15,"Brondong")))))</f>
        <v>Gelondonggede</v>
      </c>
      <c r="E3" s="21">
        <v>14.07</v>
      </c>
      <c r="F3" s="9">
        <v>1110</v>
      </c>
      <c r="G3" s="21">
        <v>85.38</v>
      </c>
      <c r="H3" s="22"/>
      <c r="I3" s="22"/>
      <c r="J3" s="22"/>
      <c r="K3" s="22"/>
      <c r="L3" s="22"/>
      <c r="P3" s="9">
        <v>14</v>
      </c>
      <c r="Q3" s="9" t="str">
        <f t="shared" si="0"/>
        <v>Sendang Biru</v>
      </c>
      <c r="R3" s="21">
        <v>14.07</v>
      </c>
      <c r="S3" s="21">
        <v>10.126659983474067</v>
      </c>
      <c r="T3" s="9"/>
      <c r="U3" s="9"/>
      <c r="V3" s="9"/>
      <c r="W3" s="9"/>
      <c r="X3" s="9"/>
      <c r="Y3" s="9"/>
      <c r="Z3" s="9"/>
      <c r="AA3" s="9"/>
      <c r="AB3" s="9"/>
    </row>
    <row r="4" spans="1:28" x14ac:dyDescent="0.25">
      <c r="C4" s="9">
        <v>11</v>
      </c>
      <c r="D4" s="9" t="str">
        <f>IF(C4=11,"Gelondonggede",IF(C4=12,"Brondong", IF(C4=13,"Padikde Talango",IF(C4=14,"Gelondonggede", IF(C4=15,"Brondong")))))</f>
        <v>Gelondonggede</v>
      </c>
      <c r="E4" s="21">
        <v>15.94</v>
      </c>
      <c r="F4" s="9">
        <v>1110</v>
      </c>
      <c r="G4" s="21">
        <v>85.8</v>
      </c>
      <c r="H4" s="22"/>
      <c r="I4" s="22"/>
      <c r="J4" s="22"/>
      <c r="K4" s="22"/>
      <c r="L4" s="22"/>
      <c r="P4" s="9">
        <v>14</v>
      </c>
      <c r="Q4" s="9" t="str">
        <f t="shared" si="0"/>
        <v>Sendang Biru</v>
      </c>
      <c r="R4" s="21">
        <v>15.94</v>
      </c>
      <c r="S4" s="21">
        <v>10.052445349740335</v>
      </c>
      <c r="T4" s="9"/>
      <c r="U4" s="9"/>
      <c r="V4" s="9"/>
      <c r="W4" s="9"/>
      <c r="X4" s="9"/>
      <c r="Y4" s="9"/>
      <c r="Z4" s="9"/>
      <c r="AA4" s="9"/>
      <c r="AB4" s="9"/>
    </row>
    <row r="5" spans="1:28" x14ac:dyDescent="0.25">
      <c r="C5" s="9">
        <v>11</v>
      </c>
      <c r="D5" s="9" t="str">
        <f>IF(C5=11,"Gelondonggede",IF(C5=12,"Brondong", IF(C5=13,"Padikde Talango",IF(C5=14,"Gelondonggede", IF(C5=15,"Brondong")))))</f>
        <v>Gelondonggede</v>
      </c>
      <c r="E5" s="21">
        <v>12.17</v>
      </c>
      <c r="F5" s="9">
        <v>1110</v>
      </c>
      <c r="G5" s="21">
        <v>73.8</v>
      </c>
      <c r="H5" s="22"/>
      <c r="I5" s="22"/>
      <c r="J5" s="22"/>
      <c r="K5" s="22"/>
      <c r="L5" s="22"/>
      <c r="P5" s="9">
        <v>14</v>
      </c>
      <c r="Q5" s="9" t="str">
        <f t="shared" si="0"/>
        <v>Sendang Biru</v>
      </c>
      <c r="R5" s="21">
        <v>12.17</v>
      </c>
      <c r="S5" s="21">
        <v>11.059951988346318</v>
      </c>
      <c r="T5" s="9"/>
      <c r="U5" s="9"/>
      <c r="V5" s="9"/>
      <c r="W5" s="9"/>
      <c r="X5" s="9"/>
      <c r="Y5" s="9"/>
      <c r="Z5" s="9"/>
      <c r="AA5" s="9"/>
      <c r="AB5" s="9"/>
    </row>
    <row r="6" spans="1:28" x14ac:dyDescent="0.25">
      <c r="C6" s="9">
        <v>11</v>
      </c>
      <c r="D6" s="9" t="str">
        <f>IF(C6=11,"Gelondonggede",IF(C6=12,"Brondong", IF(C6=13,"Padikde Talango",IF(C6=14,"Gelondonggede", IF(C6=15,"Brondong")))))</f>
        <v>Gelondonggede</v>
      </c>
      <c r="E6" s="21">
        <v>11.12</v>
      </c>
      <c r="F6" s="9">
        <v>1110</v>
      </c>
      <c r="G6" s="21">
        <v>76.61</v>
      </c>
      <c r="H6" s="22"/>
      <c r="I6" s="22"/>
      <c r="J6" s="22"/>
      <c r="K6" s="22"/>
      <c r="L6" s="22"/>
      <c r="P6" s="9">
        <v>14</v>
      </c>
      <c r="Q6" s="9" t="str">
        <f t="shared" si="0"/>
        <v>Sendang Biru</v>
      </c>
      <c r="R6" s="21">
        <v>11.12</v>
      </c>
      <c r="S6" s="21">
        <v>9.3551918826521678</v>
      </c>
      <c r="T6" s="9"/>
      <c r="U6" s="9"/>
      <c r="V6" s="9"/>
      <c r="W6" s="9"/>
      <c r="X6" s="9"/>
      <c r="Y6" s="9"/>
      <c r="Z6" s="9"/>
      <c r="AA6" s="9"/>
      <c r="AB6" s="9"/>
    </row>
    <row r="7" spans="1:28" x14ac:dyDescent="0.25">
      <c r="C7" s="9">
        <v>11</v>
      </c>
      <c r="D7" s="9" t="str">
        <f>IF(C7=11,"Gelondonggede",IF(C7=12,"Brondong", IF(C7=13,"Padikde Talango",IF(C7=14,"Gelondonggede", IF(C7=15,"Brondong")))))</f>
        <v>Gelondonggede</v>
      </c>
      <c r="E7" s="21">
        <v>11.8</v>
      </c>
      <c r="F7" s="9">
        <v>1110</v>
      </c>
      <c r="G7" s="21">
        <v>76.86</v>
      </c>
      <c r="H7" s="22"/>
      <c r="I7" s="22"/>
      <c r="J7" s="22"/>
      <c r="K7" s="22"/>
      <c r="L7" s="22"/>
      <c r="P7" s="9">
        <v>14</v>
      </c>
      <c r="Q7" s="9" t="str">
        <f t="shared" si="0"/>
        <v>Sendang Biru</v>
      </c>
      <c r="R7" s="21">
        <v>11.8</v>
      </c>
      <c r="S7" s="21">
        <v>12.706498499856565</v>
      </c>
      <c r="T7" s="9"/>
      <c r="U7" s="9"/>
      <c r="V7" s="9"/>
      <c r="W7" s="9"/>
      <c r="X7" s="9"/>
      <c r="Y7" s="9"/>
      <c r="Z7" s="9"/>
      <c r="AA7" s="9"/>
      <c r="AB7" s="9"/>
    </row>
    <row r="8" spans="1:28" x14ac:dyDescent="0.25">
      <c r="C8" s="9">
        <v>11</v>
      </c>
      <c r="D8" s="9" t="str">
        <f>IF(C8=11,"Gelondonggede",IF(C8=12,"Brondong", IF(C8=13,"Padikde Talango",IF(C8=14,"Gelondonggede", IF(C8=15,"Brondong")))))</f>
        <v>Gelondonggede</v>
      </c>
      <c r="E8" s="21">
        <v>8.84</v>
      </c>
      <c r="F8" s="9">
        <v>1110</v>
      </c>
      <c r="G8" s="21">
        <v>73.540000000000006</v>
      </c>
      <c r="H8" s="22"/>
      <c r="I8" s="22"/>
      <c r="J8" s="22"/>
      <c r="K8" s="22"/>
      <c r="L8" s="22"/>
      <c r="P8" s="9">
        <v>14</v>
      </c>
      <c r="Q8" s="9" t="str">
        <f t="shared" si="0"/>
        <v>Sendang Biru</v>
      </c>
      <c r="R8" s="21">
        <v>8.84</v>
      </c>
      <c r="S8" s="21">
        <v>7.98</v>
      </c>
      <c r="T8" s="9"/>
      <c r="U8" s="9"/>
      <c r="V8" s="9"/>
      <c r="W8" s="9"/>
      <c r="X8" s="9"/>
      <c r="Y8" s="9"/>
      <c r="Z8" s="9"/>
      <c r="AA8" s="9"/>
      <c r="AB8" s="9"/>
    </row>
    <row r="9" spans="1:28" x14ac:dyDescent="0.25">
      <c r="C9" s="9">
        <v>11</v>
      </c>
      <c r="D9" s="9" t="str">
        <f>IF(C9=11,"Gelondonggede",IF(C9=12,"Brondong", IF(C9=13,"Padikde Talango",IF(C9=14,"Gelondonggede", IF(C9=15,"Brondong")))))</f>
        <v>Gelondonggede</v>
      </c>
      <c r="E9" s="21">
        <v>11.06</v>
      </c>
      <c r="F9" s="9">
        <v>1110</v>
      </c>
      <c r="G9" s="21">
        <v>75.25</v>
      </c>
      <c r="H9" s="22"/>
      <c r="I9" s="22"/>
      <c r="J9" s="22"/>
      <c r="K9" s="22"/>
      <c r="L9" s="22"/>
      <c r="P9" s="9">
        <v>14</v>
      </c>
      <c r="Q9" s="9" t="str">
        <f t="shared" si="0"/>
        <v>Sendang Biru</v>
      </c>
      <c r="R9" s="21">
        <v>11.06</v>
      </c>
      <c r="S9" s="21">
        <v>8.3352552785408651</v>
      </c>
      <c r="T9" s="9"/>
      <c r="U9" s="9"/>
      <c r="V9" s="9"/>
      <c r="W9" s="9"/>
      <c r="X9" s="9"/>
      <c r="Y9" s="9"/>
      <c r="Z9" s="9"/>
      <c r="AA9" s="9"/>
      <c r="AB9" s="9"/>
    </row>
    <row r="10" spans="1:28" x14ac:dyDescent="0.25">
      <c r="C10" s="9">
        <v>11</v>
      </c>
      <c r="D10" s="9" t="str">
        <f>IF(C10=11,"Gelondonggede",IF(C10=12,"Brondong", IF(C10=13,"Padikde Talango",IF(C10=14,"Gelondonggede", IF(C10=15,"Brondong")))))</f>
        <v>Gelondonggede</v>
      </c>
      <c r="E10" s="21">
        <v>11.26</v>
      </c>
      <c r="F10" s="9">
        <v>1110</v>
      </c>
      <c r="G10" s="21">
        <v>78.63</v>
      </c>
      <c r="H10" s="22"/>
      <c r="I10" s="22"/>
      <c r="J10" s="22"/>
      <c r="K10" s="22"/>
      <c r="L10" s="22"/>
      <c r="P10" s="9">
        <v>14</v>
      </c>
      <c r="Q10" s="9" t="str">
        <f t="shared" si="0"/>
        <v>Sendang Biru</v>
      </c>
      <c r="R10" s="21">
        <v>11.26</v>
      </c>
      <c r="S10" s="21">
        <v>12.724422524186565</v>
      </c>
      <c r="T10" s="9"/>
      <c r="U10" s="9"/>
      <c r="V10" s="9"/>
      <c r="W10" s="9"/>
      <c r="X10" s="9"/>
      <c r="Y10" s="9"/>
      <c r="Z10" s="9"/>
      <c r="AA10" s="9"/>
      <c r="AB10" s="9"/>
    </row>
    <row r="11" spans="1:28" x14ac:dyDescent="0.25">
      <c r="C11" s="9">
        <v>11</v>
      </c>
      <c r="D11" s="9" t="str">
        <f>IF(C11=11,"Gelondonggede",IF(C11=12,"Brondong", IF(C11=13,"Padikde Talango",IF(C11=14,"Gelondonggede", IF(C11=15,"Brondong")))))</f>
        <v>Gelondonggede</v>
      </c>
      <c r="E11" s="21">
        <v>10.02</v>
      </c>
      <c r="F11" s="9">
        <v>1110</v>
      </c>
      <c r="G11" s="21">
        <v>75.67</v>
      </c>
      <c r="H11" s="22"/>
      <c r="I11" s="22"/>
      <c r="J11" s="22"/>
      <c r="K11" s="22"/>
      <c r="L11" s="22"/>
      <c r="P11" s="9">
        <v>14</v>
      </c>
      <c r="Q11" s="9" t="str">
        <f t="shared" si="0"/>
        <v>Sendang Biru</v>
      </c>
      <c r="R11" s="21">
        <v>10.02</v>
      </c>
      <c r="S11" s="21">
        <v>9.34</v>
      </c>
      <c r="T11" s="9"/>
      <c r="U11" s="9"/>
      <c r="V11" s="9"/>
      <c r="W11" s="9"/>
      <c r="X11" s="9"/>
      <c r="Y11" s="9"/>
      <c r="Z11" s="9"/>
      <c r="AA11" s="9"/>
      <c r="AB11" s="9"/>
    </row>
    <row r="12" spans="1:28" x14ac:dyDescent="0.25">
      <c r="C12" s="9">
        <v>11</v>
      </c>
      <c r="D12" s="9" t="str">
        <f>IF(C12=11,"Gelondonggede",IF(C12=12,"Brondong", IF(C12=13,"Padikde Talango",IF(C12=14,"Gelondonggede", IF(C12=15,"Brondong")))))</f>
        <v>Gelondonggede</v>
      </c>
      <c r="E12" s="21">
        <v>10.14</v>
      </c>
      <c r="F12" s="9">
        <v>1110</v>
      </c>
      <c r="G12" s="21">
        <v>76.23</v>
      </c>
      <c r="H12" s="22"/>
      <c r="I12" s="22"/>
      <c r="J12" s="22"/>
      <c r="K12" s="22"/>
      <c r="L12" s="22"/>
      <c r="P12" s="9">
        <v>14</v>
      </c>
      <c r="Q12" s="9" t="str">
        <f t="shared" si="0"/>
        <v>Sendang Biru</v>
      </c>
      <c r="R12" s="21">
        <v>10.14</v>
      </c>
      <c r="S12" s="21">
        <v>5.8642047066171479</v>
      </c>
      <c r="T12" s="9"/>
      <c r="U12" s="9"/>
      <c r="V12" s="9"/>
      <c r="W12" s="9"/>
      <c r="X12" s="9"/>
      <c r="Y12" s="9"/>
      <c r="Z12" s="9"/>
      <c r="AA12" s="9"/>
      <c r="AB12" s="9"/>
    </row>
    <row r="13" spans="1:28" x14ac:dyDescent="0.25">
      <c r="C13" s="9">
        <v>11</v>
      </c>
      <c r="D13" s="9" t="str">
        <f>IF(C13=11,"Gelondonggede",IF(C13=12,"Brondong", IF(C13=13,"Padikde Talango",IF(C13=14,"Gelondonggede", IF(C13=15,"Brondong")))))</f>
        <v>Gelondonggede</v>
      </c>
      <c r="E13" s="21">
        <v>9.7200000000000006</v>
      </c>
      <c r="F13" s="9">
        <v>1110</v>
      </c>
      <c r="G13" s="21">
        <v>77.58</v>
      </c>
      <c r="H13" s="22"/>
      <c r="I13" s="22"/>
      <c r="J13" s="22"/>
      <c r="K13" s="22"/>
      <c r="L13" s="22"/>
      <c r="P13" s="9">
        <v>14</v>
      </c>
      <c r="Q13" s="9" t="str">
        <f t="shared" si="0"/>
        <v>Sendang Biru</v>
      </c>
      <c r="R13" s="21">
        <v>9.7200000000000006</v>
      </c>
      <c r="S13" s="21">
        <v>13.520112122914178</v>
      </c>
      <c r="T13" s="9"/>
      <c r="U13" s="9"/>
      <c r="V13" s="9"/>
      <c r="W13" s="9"/>
      <c r="X13" s="9"/>
      <c r="Y13" s="9"/>
      <c r="Z13" s="9"/>
      <c r="AA13" s="9"/>
      <c r="AB13" s="9"/>
    </row>
    <row r="14" spans="1:28" x14ac:dyDescent="0.25">
      <c r="C14" s="9">
        <v>11</v>
      </c>
      <c r="D14" s="9" t="str">
        <f>IF(C14=11,"Gelondonggede",IF(C14=12,"Brondong", IF(C14=13,"Padikde Talango",IF(C14=14,"Gelondonggede", IF(C14=15,"Brondong")))))</f>
        <v>Gelondonggede</v>
      </c>
      <c r="E14" s="21">
        <v>11.11</v>
      </c>
      <c r="F14" s="9">
        <v>1110</v>
      </c>
      <c r="G14" s="21">
        <v>74.150000000000006</v>
      </c>
      <c r="H14" s="22"/>
      <c r="I14" s="22"/>
      <c r="J14" s="22"/>
      <c r="K14" s="22"/>
      <c r="L14" s="22"/>
      <c r="P14" s="9">
        <v>14</v>
      </c>
      <c r="Q14" s="9" t="str">
        <f t="shared" si="0"/>
        <v>Sendang Biru</v>
      </c>
      <c r="R14" s="21">
        <v>11.11</v>
      </c>
      <c r="S14" s="21">
        <v>9.985476900362535</v>
      </c>
      <c r="T14" s="9"/>
      <c r="U14" s="9"/>
      <c r="V14" s="9"/>
      <c r="W14" s="9"/>
      <c r="X14" s="9"/>
      <c r="Y14" s="9"/>
      <c r="Z14" s="9"/>
      <c r="AA14" s="9"/>
      <c r="AB14" s="9"/>
    </row>
    <row r="15" spans="1:28" x14ac:dyDescent="0.25">
      <c r="C15" s="9">
        <v>11</v>
      </c>
      <c r="D15" s="9" t="str">
        <f>IF(C15=11,"Gelondonggede",IF(C15=12,"Brondong", IF(C15=13,"Padikde Talango",IF(C15=14,"Gelondonggede", IF(C15=15,"Brondong")))))</f>
        <v>Gelondonggede</v>
      </c>
      <c r="E15" s="21">
        <v>9.0500000000000007</v>
      </c>
      <c r="F15" s="9">
        <v>1110</v>
      </c>
      <c r="G15" s="21">
        <v>76.75</v>
      </c>
      <c r="H15" s="22"/>
      <c r="I15" s="22"/>
      <c r="J15" s="22"/>
      <c r="K15" s="22"/>
      <c r="L15" s="22"/>
      <c r="P15" s="9">
        <v>14</v>
      </c>
      <c r="Q15" s="9" t="str">
        <f t="shared" si="0"/>
        <v>Sendang Biru</v>
      </c>
      <c r="R15" s="21">
        <v>9.0500000000000007</v>
      </c>
      <c r="S15" s="21">
        <v>13.766265678643615</v>
      </c>
      <c r="T15" s="9"/>
      <c r="U15" s="9"/>
      <c r="V15" s="9"/>
      <c r="W15" s="9"/>
      <c r="X15" s="9"/>
      <c r="Y15" s="9"/>
      <c r="Z15" s="9"/>
      <c r="AA15" s="9"/>
      <c r="AB15" s="9"/>
    </row>
    <row r="16" spans="1:28" x14ac:dyDescent="0.25">
      <c r="C16" s="9">
        <v>11</v>
      </c>
      <c r="D16" s="9" t="str">
        <f>IF(C16=11,"Gelondonggede",IF(C16=12,"Brondong", IF(C16=13,"Padikde Talango",IF(C16=14,"Gelondonggede", IF(C16=15,"Brondong")))))</f>
        <v>Gelondonggede</v>
      </c>
      <c r="E16" s="21">
        <v>9.6199999999999992</v>
      </c>
      <c r="F16" s="9">
        <v>1110</v>
      </c>
      <c r="G16" s="21">
        <v>73.760000000000005</v>
      </c>
      <c r="H16" s="22"/>
      <c r="I16" s="22"/>
      <c r="J16" s="22"/>
      <c r="K16" s="22"/>
      <c r="L16" s="22"/>
      <c r="P16" s="9">
        <v>14</v>
      </c>
      <c r="Q16" s="9" t="str">
        <f t="shared" si="0"/>
        <v>Sendang Biru</v>
      </c>
      <c r="R16" s="21">
        <v>9.6199999999999992</v>
      </c>
      <c r="S16" s="21">
        <v>10.32</v>
      </c>
      <c r="T16" s="9"/>
      <c r="U16" s="9"/>
      <c r="V16" s="9"/>
      <c r="W16" s="9"/>
      <c r="X16" s="9"/>
      <c r="Y16" s="9"/>
      <c r="Z16" s="9"/>
      <c r="AA16" s="9"/>
      <c r="AB16" s="9"/>
    </row>
    <row r="17" spans="3:28" x14ac:dyDescent="0.25">
      <c r="C17" s="9">
        <v>11</v>
      </c>
      <c r="D17" s="9" t="str">
        <f>IF(C17=11,"Gelondonggede",IF(C17=12,"Brondong", IF(C17=13,"Padikde Talango",IF(C17=14,"Gelondonggede", IF(C17=15,"Brondong")))))</f>
        <v>Gelondonggede</v>
      </c>
      <c r="E17" s="21">
        <v>9.3699999999999992</v>
      </c>
      <c r="F17" s="9">
        <v>1110</v>
      </c>
      <c r="G17" s="21">
        <v>74.8</v>
      </c>
      <c r="H17" s="22"/>
      <c r="I17" s="22"/>
      <c r="J17" s="22"/>
      <c r="K17" s="22"/>
      <c r="L17" s="22"/>
      <c r="P17" s="9">
        <v>14</v>
      </c>
      <c r="Q17" s="9" t="str">
        <f t="shared" si="0"/>
        <v>Sendang Biru</v>
      </c>
      <c r="R17" s="21">
        <v>9.3699999999999992</v>
      </c>
      <c r="S17" s="21">
        <v>9.2177806752567388</v>
      </c>
      <c r="T17" s="9"/>
      <c r="U17" s="9"/>
      <c r="V17" s="9"/>
      <c r="W17" s="9"/>
      <c r="X17" s="9"/>
      <c r="Y17" s="9"/>
      <c r="Z17" s="9"/>
      <c r="AA17" s="9"/>
      <c r="AB17" s="9"/>
    </row>
    <row r="18" spans="3:28" x14ac:dyDescent="0.25">
      <c r="C18" s="9">
        <v>11</v>
      </c>
      <c r="D18" s="9" t="str">
        <f>IF(C18=11,"Gelondonggede",IF(C18=12,"Brondong", IF(C18=13,"Padikde Talango",IF(C18=14,"Gelondonggede", IF(C18=15,"Brondong")))))</f>
        <v>Gelondonggede</v>
      </c>
      <c r="E18" s="21">
        <v>8.6999999999999993</v>
      </c>
      <c r="F18" s="9">
        <v>1110</v>
      </c>
      <c r="G18" s="21">
        <v>73.209999999999994</v>
      </c>
      <c r="H18" s="22"/>
      <c r="I18" s="22"/>
      <c r="J18" s="22"/>
      <c r="K18" s="22"/>
      <c r="L18" s="22"/>
      <c r="P18" s="9">
        <v>14</v>
      </c>
      <c r="Q18" s="9" t="str">
        <f t="shared" si="0"/>
        <v>Sendang Biru</v>
      </c>
      <c r="R18" s="21">
        <v>8.6999999999999993</v>
      </c>
      <c r="S18" s="21">
        <v>8.5188545386603511</v>
      </c>
      <c r="T18" s="9"/>
      <c r="U18" s="30"/>
      <c r="V18" s="9"/>
      <c r="W18" s="9"/>
      <c r="X18" s="9"/>
      <c r="Y18" s="9"/>
      <c r="Z18" s="9"/>
      <c r="AA18" s="9"/>
      <c r="AB18" s="9"/>
    </row>
    <row r="19" spans="3:28" x14ac:dyDescent="0.25">
      <c r="C19" s="9">
        <v>11</v>
      </c>
      <c r="D19" s="9" t="str">
        <f>IF(C19=11,"Gelondonggede",IF(C19=12,"Brondong", IF(C19=13,"Padikde Talango",IF(C19=14,"Gelondonggede", IF(C19=15,"Brondong")))))</f>
        <v>Gelondonggede</v>
      </c>
      <c r="E19" s="21">
        <v>8.91</v>
      </c>
      <c r="F19" s="9">
        <v>1110</v>
      </c>
      <c r="G19" s="21">
        <v>73.03</v>
      </c>
      <c r="H19" s="22"/>
      <c r="I19" s="22"/>
      <c r="J19" s="22"/>
      <c r="K19" s="22"/>
      <c r="L19" s="22"/>
      <c r="P19" s="9">
        <v>14</v>
      </c>
      <c r="Q19" s="9" t="str">
        <f t="shared" si="0"/>
        <v>Sendang Biru</v>
      </c>
      <c r="R19" s="21">
        <v>8.91</v>
      </c>
      <c r="S19" s="21">
        <v>9.1771598129739811</v>
      </c>
      <c r="T19" s="9"/>
      <c r="U19" s="30"/>
      <c r="V19" s="9"/>
      <c r="W19" s="9"/>
      <c r="X19" s="9"/>
      <c r="Y19" s="9"/>
      <c r="Z19" s="9"/>
      <c r="AA19" s="9"/>
      <c r="AB19" s="9"/>
    </row>
    <row r="20" spans="3:28" x14ac:dyDescent="0.25">
      <c r="C20" s="9">
        <v>11</v>
      </c>
      <c r="D20" s="9" t="str">
        <f>IF(C20=11,"Gelondonggede",IF(C20=12,"Brondong", IF(C20=13,"Padikde Talango",IF(C20=14,"Gelondonggede", IF(C20=15,"Brondong")))))</f>
        <v>Gelondonggede</v>
      </c>
      <c r="E20" s="21">
        <v>10.69</v>
      </c>
      <c r="F20" s="9">
        <v>1110</v>
      </c>
      <c r="G20" s="21">
        <v>77.92</v>
      </c>
      <c r="H20" s="22"/>
      <c r="I20" s="22"/>
      <c r="J20" s="22"/>
      <c r="K20" s="22"/>
      <c r="L20" s="22"/>
      <c r="P20" s="9">
        <v>14</v>
      </c>
      <c r="Q20" s="9" t="str">
        <f t="shared" si="0"/>
        <v>Sendang Biru</v>
      </c>
      <c r="R20" s="21">
        <v>10.69</v>
      </c>
      <c r="S20" s="21">
        <v>12.028360652977302</v>
      </c>
      <c r="T20" s="9"/>
      <c r="U20" s="9"/>
      <c r="V20" s="9"/>
      <c r="W20" s="9"/>
      <c r="X20" s="9"/>
      <c r="Y20" s="9"/>
      <c r="Z20" s="9"/>
      <c r="AA20" s="9"/>
      <c r="AB20" s="9"/>
    </row>
    <row r="21" spans="3:28" x14ac:dyDescent="0.25">
      <c r="C21" s="9">
        <v>11</v>
      </c>
      <c r="D21" s="9" t="str">
        <f>IF(C21=11,"Gelondonggede",IF(C21=12,"Brondong", IF(C21=13,"Padikde Talango",IF(C21=14,"Gelondonggede", IF(C21=15,"Brondong")))))</f>
        <v>Gelondonggede</v>
      </c>
      <c r="E21" s="21">
        <v>8.57</v>
      </c>
      <c r="F21" s="9">
        <v>1110</v>
      </c>
      <c r="G21" s="21">
        <v>72.53</v>
      </c>
      <c r="H21" s="22"/>
      <c r="I21" s="22"/>
      <c r="J21" s="22"/>
      <c r="K21" s="22"/>
      <c r="L21" s="22"/>
      <c r="P21" s="9">
        <v>14</v>
      </c>
      <c r="Q21" s="9" t="str">
        <f t="shared" si="0"/>
        <v>Sendang Biru</v>
      </c>
      <c r="R21" s="21">
        <v>8.57</v>
      </c>
      <c r="S21" s="21">
        <v>7.5</v>
      </c>
      <c r="T21" s="9"/>
      <c r="U21" s="9"/>
      <c r="V21" s="9"/>
      <c r="W21" s="9"/>
      <c r="X21" s="9"/>
      <c r="Y21" s="9"/>
      <c r="Z21" s="9"/>
      <c r="AA21" s="9"/>
      <c r="AB21" s="9"/>
    </row>
    <row r="22" spans="3:28" x14ac:dyDescent="0.25">
      <c r="C22" s="9">
        <v>11</v>
      </c>
      <c r="D22" s="9" t="str">
        <f>IF(C22=11,"Gelondonggede",IF(C22=12,"Brondong", IF(C22=13,"Padikde Talango",IF(C22=14,"Gelondonggede", IF(C22=15,"Brondong")))))</f>
        <v>Gelondonggede</v>
      </c>
      <c r="E22" s="21">
        <v>7.87</v>
      </c>
      <c r="F22" s="9">
        <v>1110</v>
      </c>
      <c r="G22" s="21">
        <v>72.27</v>
      </c>
      <c r="H22" s="22"/>
      <c r="I22" s="22"/>
      <c r="J22" s="22"/>
      <c r="K22" s="22"/>
      <c r="L22" s="22"/>
      <c r="T22" s="9"/>
      <c r="U22" s="9"/>
      <c r="V22" s="9"/>
      <c r="W22" s="9"/>
      <c r="X22" s="9"/>
      <c r="Y22" s="9"/>
      <c r="Z22" s="9"/>
      <c r="AA22" s="9"/>
      <c r="AB22" s="9"/>
    </row>
    <row r="23" spans="3:28" x14ac:dyDescent="0.25">
      <c r="C23" s="9">
        <v>11</v>
      </c>
      <c r="D23" s="9" t="str">
        <f>IF(C23=11,"Gelondonggede",IF(C23=12,"Brondong", IF(C23=13,"Padikde Talango",IF(C23=14,"Gelondonggede", IF(C23=15,"Brondong")))))</f>
        <v>Gelondonggede</v>
      </c>
      <c r="E23" s="21">
        <v>9.44</v>
      </c>
      <c r="F23" s="9">
        <v>1110</v>
      </c>
      <c r="G23" s="21">
        <v>73.260000000000005</v>
      </c>
      <c r="H23" s="22"/>
      <c r="I23" s="22"/>
      <c r="J23" s="22"/>
      <c r="K23" s="22"/>
      <c r="L23" s="22"/>
      <c r="T23" s="9"/>
      <c r="U23" s="9"/>
      <c r="V23" s="9"/>
      <c r="W23" s="9"/>
      <c r="X23" s="9"/>
      <c r="Y23" s="9"/>
      <c r="Z23" s="9"/>
      <c r="AA23" s="9"/>
      <c r="AB23" s="9"/>
    </row>
    <row r="24" spans="3:28" x14ac:dyDescent="0.25">
      <c r="C24" s="9">
        <v>11</v>
      </c>
      <c r="D24" s="9" t="str">
        <f>IF(C24=11,"Gelondonggede",IF(C24=12,"Brondong", IF(C24=13,"Padikde Talango",IF(C24=14,"Gelondonggede", IF(C24=15,"Brondong")))))</f>
        <v>Gelondonggede</v>
      </c>
      <c r="E24" s="21">
        <v>8.66</v>
      </c>
      <c r="F24" s="9">
        <v>1110</v>
      </c>
      <c r="G24" s="21">
        <v>73.92</v>
      </c>
      <c r="H24" s="22"/>
      <c r="I24" s="22"/>
      <c r="J24" s="22"/>
      <c r="K24" s="22"/>
      <c r="L24" s="22"/>
      <c r="T24" s="9"/>
      <c r="U24" s="9"/>
      <c r="V24" s="9"/>
      <c r="W24" s="9"/>
      <c r="X24" s="9"/>
      <c r="Y24" s="9"/>
      <c r="Z24" s="9"/>
      <c r="AA24" s="9"/>
      <c r="AB24" s="9"/>
    </row>
    <row r="25" spans="3:28" x14ac:dyDescent="0.25">
      <c r="C25" s="9">
        <v>11</v>
      </c>
      <c r="D25" s="9" t="str">
        <f>IF(C25=11,"Gelondonggede",IF(C25=12,"Brondong", IF(C25=13,"Padikde Talango",IF(C25=14,"Gelondonggede", IF(C25=15,"Brondong")))))</f>
        <v>Gelondonggede</v>
      </c>
      <c r="E25" s="21">
        <v>7.74</v>
      </c>
      <c r="F25" s="9">
        <v>1110</v>
      </c>
      <c r="G25" s="21">
        <v>71.760000000000005</v>
      </c>
      <c r="H25" s="22"/>
      <c r="I25" s="22"/>
      <c r="J25" s="22"/>
      <c r="K25" s="22"/>
      <c r="L25" s="22"/>
      <c r="T25" s="9"/>
      <c r="U25" s="9"/>
      <c r="V25" s="9"/>
      <c r="W25" s="9"/>
      <c r="X25" s="9"/>
      <c r="Y25" s="9"/>
      <c r="Z25" s="9"/>
      <c r="AA25" s="9"/>
      <c r="AB25" s="9"/>
    </row>
    <row r="26" spans="3:28" x14ac:dyDescent="0.25">
      <c r="C26" s="9">
        <v>11</v>
      </c>
      <c r="D26" s="9" t="str">
        <f>IF(C26=11,"Gelondonggede",IF(C26=12,"Brondong", IF(C26=13,"Padikde Talango",IF(C26=14,"Gelondonggede", IF(C26=15,"Brondong")))))</f>
        <v>Gelondonggede</v>
      </c>
      <c r="E26" s="21">
        <v>9.08</v>
      </c>
      <c r="F26" s="9">
        <v>1110</v>
      </c>
      <c r="G26" s="21">
        <v>74.28</v>
      </c>
      <c r="H26" s="22"/>
      <c r="I26" s="22"/>
      <c r="J26" s="22"/>
      <c r="K26" s="22"/>
      <c r="L26" s="22"/>
      <c r="T26" s="9"/>
      <c r="U26" s="9"/>
      <c r="V26" s="9"/>
      <c r="W26" s="9"/>
      <c r="X26" s="9"/>
      <c r="Y26" s="9"/>
      <c r="Z26" s="9"/>
      <c r="AA26" s="9"/>
      <c r="AB26" s="9"/>
    </row>
    <row r="27" spans="3:28" x14ac:dyDescent="0.25">
      <c r="C27" s="9">
        <v>11</v>
      </c>
      <c r="D27" s="9" t="str">
        <f>IF(C27=11,"Gelondonggede",IF(C27=12,"Brondong", IF(C27=13,"Padikde Talango",IF(C27=14,"Gelondonggede", IF(C27=15,"Brondong")))))</f>
        <v>Gelondonggede</v>
      </c>
      <c r="E27" s="21">
        <v>7.28</v>
      </c>
      <c r="F27" s="9">
        <v>1110</v>
      </c>
      <c r="G27" s="21">
        <v>69.790000000000006</v>
      </c>
      <c r="H27" s="22"/>
      <c r="I27" s="22"/>
      <c r="J27" s="22"/>
      <c r="K27" s="22"/>
      <c r="L27" s="22"/>
      <c r="T27" s="9"/>
      <c r="U27" s="9"/>
      <c r="V27" s="9"/>
      <c r="W27" s="9"/>
      <c r="X27" s="9"/>
      <c r="Y27" s="9"/>
      <c r="Z27" s="9"/>
      <c r="AA27" s="9"/>
      <c r="AB27" s="9"/>
    </row>
    <row r="28" spans="3:28" x14ac:dyDescent="0.25">
      <c r="C28" s="9">
        <v>11</v>
      </c>
      <c r="D28" s="9" t="str">
        <f>IF(C28=11,"Gelondonggede",IF(C28=12,"Brondong", IF(C28=13,"Padikde Talango",IF(C28=14,"Gelondonggede", IF(C28=15,"Brondong")))))</f>
        <v>Gelondonggede</v>
      </c>
      <c r="E28" s="21">
        <v>9.69</v>
      </c>
      <c r="F28" s="9">
        <v>1110</v>
      </c>
      <c r="G28" s="21">
        <v>73.86</v>
      </c>
      <c r="H28" s="22"/>
      <c r="I28" s="22"/>
      <c r="J28" s="22"/>
      <c r="K28" s="22"/>
      <c r="L28" s="22"/>
      <c r="T28" s="9"/>
      <c r="U28" s="9"/>
      <c r="V28" s="9"/>
      <c r="W28" s="9"/>
      <c r="X28" s="9"/>
      <c r="Y28" s="9"/>
      <c r="Z28" s="9"/>
      <c r="AA28" s="9"/>
      <c r="AB28" s="9"/>
    </row>
    <row r="29" spans="3:28" x14ac:dyDescent="0.25">
      <c r="C29" s="9">
        <v>11</v>
      </c>
      <c r="D29" s="9" t="str">
        <f>IF(C29=11,"Gelondonggede",IF(C29=12,"Brondong", IF(C29=13,"Padikde Talango",IF(C29=14,"Gelondonggede", IF(C29=15,"Brondong")))))</f>
        <v>Gelondonggede</v>
      </c>
      <c r="E29" s="21">
        <v>9</v>
      </c>
      <c r="F29" s="9">
        <v>1110</v>
      </c>
      <c r="G29" s="21">
        <v>72.55</v>
      </c>
      <c r="H29" s="22"/>
      <c r="I29" s="22"/>
      <c r="J29" s="22"/>
      <c r="K29" s="22"/>
      <c r="L29" s="22"/>
      <c r="T29" s="9"/>
      <c r="U29" s="9"/>
      <c r="V29" s="9"/>
      <c r="W29" s="9"/>
      <c r="X29" s="9"/>
      <c r="Y29" s="9"/>
      <c r="Z29" s="9"/>
      <c r="AA29" s="9"/>
      <c r="AB29" s="9"/>
    </row>
    <row r="30" spans="3:28" x14ac:dyDescent="0.25">
      <c r="C30" s="9">
        <v>11</v>
      </c>
      <c r="D30" s="9" t="str">
        <f>IF(C30=11,"Gelondonggede",IF(C30=12,"Brondong", IF(C30=13,"Padikde Talango",IF(C30=14,"Gelondonggede", IF(C30=15,"Brondong")))))</f>
        <v>Gelondonggede</v>
      </c>
      <c r="E30" s="21">
        <v>4.8499999999999996</v>
      </c>
      <c r="F30" s="9">
        <v>1110</v>
      </c>
      <c r="G30" s="21">
        <v>71.95</v>
      </c>
      <c r="H30" s="22"/>
      <c r="I30" s="22"/>
      <c r="J30" s="22"/>
      <c r="K30" s="22"/>
      <c r="L30" s="22"/>
      <c r="T30" s="9"/>
      <c r="U30" s="9"/>
      <c r="V30" s="9"/>
      <c r="W30" s="9"/>
      <c r="X30" s="9"/>
      <c r="Y30" s="9"/>
      <c r="Z30" s="9"/>
      <c r="AA30" s="9"/>
      <c r="AB30" s="9"/>
    </row>
    <row r="31" spans="3:28" x14ac:dyDescent="0.25">
      <c r="C31" s="9">
        <v>11</v>
      </c>
      <c r="D31" s="9" t="str">
        <f>IF(C31=11,"Gelondonggede",IF(C31=12,"Brondong", IF(C31=13,"Padikde Talango",IF(C31=14,"Gelondonggede", IF(C31=15,"Brondong")))))</f>
        <v>Gelondonggede</v>
      </c>
      <c r="E31" s="21">
        <v>7.34</v>
      </c>
      <c r="F31" s="9">
        <v>1110</v>
      </c>
      <c r="G31" s="21">
        <v>71.61</v>
      </c>
      <c r="H31" s="22"/>
      <c r="I31" s="22"/>
      <c r="J31" s="22"/>
      <c r="K31" s="22"/>
      <c r="L31" s="22"/>
      <c r="T31" s="9"/>
      <c r="U31" s="9"/>
      <c r="V31" s="9"/>
      <c r="W31" s="9"/>
      <c r="X31" s="9"/>
      <c r="Y31" s="9"/>
      <c r="Z31" s="9"/>
      <c r="AA31" s="9"/>
      <c r="AB31" s="9"/>
    </row>
    <row r="32" spans="3:28" x14ac:dyDescent="0.25">
      <c r="C32" s="9">
        <v>11</v>
      </c>
      <c r="D32" s="9" t="str">
        <f>IF(C32=11,"Gelondonggede",IF(C32=12,"Brondong", IF(C32=13,"Padikde Talango",IF(C32=14,"Gelondonggede", IF(C32=15,"Brondong")))))</f>
        <v>Gelondonggede</v>
      </c>
      <c r="E32" s="21">
        <v>6.31</v>
      </c>
      <c r="F32" s="9">
        <v>1110</v>
      </c>
      <c r="G32" s="21">
        <v>69.790000000000006</v>
      </c>
      <c r="H32" s="22"/>
      <c r="I32" s="22"/>
      <c r="J32" s="22"/>
      <c r="K32" s="22"/>
      <c r="L32" s="22"/>
    </row>
    <row r="33" spans="3:12" x14ac:dyDescent="0.25">
      <c r="C33" s="9">
        <v>11</v>
      </c>
      <c r="D33" s="9" t="str">
        <f>IF(C33=11,"Gelondonggede",IF(C33=12,"Brondong", IF(C33=13,"Padikde Talango",IF(C33=14,"Gelondonggede", IF(C33=15,"Brondong")))))</f>
        <v>Gelondonggede</v>
      </c>
      <c r="E33" s="21">
        <v>6.64</v>
      </c>
      <c r="F33" s="9">
        <v>1110</v>
      </c>
      <c r="G33" s="21">
        <v>71.89</v>
      </c>
      <c r="H33" s="22"/>
      <c r="I33" s="22"/>
      <c r="J33" s="22"/>
      <c r="K33" s="22"/>
      <c r="L33" s="22"/>
    </row>
    <row r="34" spans="3:12" x14ac:dyDescent="0.25">
      <c r="C34" s="9">
        <v>11</v>
      </c>
      <c r="D34" s="9" t="str">
        <f>IF(C34=11,"Gelondonggede",IF(C34=12,"Brondong", IF(C34=13,"Padikde Talango",IF(C34=14,"Gelondonggede", IF(C34=15,"Brondong")))))</f>
        <v>Gelondonggede</v>
      </c>
      <c r="E34" s="21">
        <v>8.99</v>
      </c>
      <c r="F34" s="9">
        <v>1110</v>
      </c>
      <c r="G34" s="21">
        <v>70.95</v>
      </c>
      <c r="H34" s="22"/>
      <c r="I34" s="22"/>
      <c r="J34" s="22"/>
      <c r="K34" s="22"/>
      <c r="L34" s="22"/>
    </row>
    <row r="35" spans="3:12" x14ac:dyDescent="0.25">
      <c r="C35" s="9">
        <v>11</v>
      </c>
      <c r="D35" s="9" t="str">
        <f>IF(C35=11,"Gelondonggede",IF(C35=12,"Brondong", IF(C35=13,"Padikde Talango",IF(C35=14,"Gelondonggede", IF(C35=15,"Brondong")))))</f>
        <v>Gelondonggede</v>
      </c>
      <c r="E35" s="21">
        <v>8.41</v>
      </c>
      <c r="F35" s="9">
        <v>1110</v>
      </c>
      <c r="G35" s="21">
        <v>75.16</v>
      </c>
      <c r="H35" s="22"/>
      <c r="I35" s="22"/>
      <c r="J35" s="22"/>
      <c r="K35" s="22"/>
      <c r="L35" s="22"/>
    </row>
    <row r="36" spans="3:12" x14ac:dyDescent="0.25">
      <c r="C36" s="9">
        <v>11</v>
      </c>
      <c r="D36" s="9" t="str">
        <f>IF(C36=11,"Gelondonggede",IF(C36=12,"Brondong", IF(C36=13,"Padikde Talango",IF(C36=14,"Gelondonggede", IF(C36=15,"Brondong")))))</f>
        <v>Gelondonggede</v>
      </c>
      <c r="E36" s="21">
        <v>5.96</v>
      </c>
      <c r="F36" s="9">
        <v>1110</v>
      </c>
      <c r="G36" s="21">
        <v>67.95</v>
      </c>
      <c r="H36" s="22"/>
      <c r="I36" s="22"/>
      <c r="J36" s="22"/>
      <c r="K36" s="22"/>
      <c r="L36" s="22"/>
    </row>
    <row r="37" spans="3:12" x14ac:dyDescent="0.25">
      <c r="C37" s="9">
        <v>11</v>
      </c>
      <c r="D37" s="9" t="str">
        <f>IF(C37=11,"Gelondonggede",IF(C37=12,"Brondong", IF(C37=13,"Padikde Talango",IF(C37=14,"Gelondonggede", IF(C37=15,"Brondong")))))</f>
        <v>Gelondonggede</v>
      </c>
      <c r="E37" s="21">
        <v>6.33</v>
      </c>
      <c r="F37" s="9">
        <v>1110</v>
      </c>
      <c r="G37" s="21">
        <v>71.44</v>
      </c>
      <c r="H37" s="22"/>
      <c r="I37" s="22"/>
      <c r="J37" s="22"/>
      <c r="K37" s="22"/>
      <c r="L37" s="22"/>
    </row>
    <row r="38" spans="3:12" x14ac:dyDescent="0.25">
      <c r="C38" s="9">
        <v>11</v>
      </c>
      <c r="D38" s="9" t="str">
        <f>IF(C38=11,"Gelondonggede",IF(C38=12,"Brondong", IF(C38=13,"Padikde Talango",IF(C38=14,"Gelondonggede", IF(C38=15,"Brondong")))))</f>
        <v>Gelondonggede</v>
      </c>
      <c r="E38" s="21">
        <v>8.84</v>
      </c>
      <c r="F38" s="9">
        <v>1110</v>
      </c>
      <c r="G38" s="21">
        <v>71.56</v>
      </c>
      <c r="H38" s="22"/>
      <c r="I38" s="22"/>
      <c r="J38" s="22"/>
      <c r="K38" s="22"/>
      <c r="L38" s="22"/>
    </row>
    <row r="39" spans="3:12" x14ac:dyDescent="0.25">
      <c r="C39" s="9">
        <v>11</v>
      </c>
      <c r="D39" s="9" t="str">
        <f>IF(C39=11,"Gelondonggede",IF(C39=12,"Brondong", IF(C39=13,"Padikde Talango",IF(C39=14,"Gelondonggede", IF(C39=15,"Brondong")))))</f>
        <v>Gelondonggede</v>
      </c>
      <c r="E39" s="21">
        <v>6.26</v>
      </c>
      <c r="F39" s="9">
        <v>1110</v>
      </c>
      <c r="G39" s="21">
        <v>66.900000000000006</v>
      </c>
      <c r="H39" s="22"/>
      <c r="I39" s="22"/>
      <c r="J39" s="22"/>
      <c r="K39" s="22"/>
      <c r="L39" s="22"/>
    </row>
    <row r="40" spans="3:12" x14ac:dyDescent="0.25">
      <c r="C40" s="9">
        <v>11</v>
      </c>
      <c r="D40" s="9" t="str">
        <f>IF(C40=11,"Gelondonggede",IF(C40=12,"Brondong", IF(C40=13,"Padikde Talango",IF(C40=14,"Gelondonggede", IF(C40=15,"Brondong")))))</f>
        <v>Gelondonggede</v>
      </c>
      <c r="E40" s="21">
        <v>6.27</v>
      </c>
      <c r="F40" s="9">
        <v>1110</v>
      </c>
      <c r="G40" s="21">
        <v>66.930000000000007</v>
      </c>
      <c r="H40" s="22"/>
      <c r="I40" s="22"/>
      <c r="J40" s="22"/>
      <c r="K40" s="22"/>
      <c r="L40" s="22"/>
    </row>
    <row r="41" spans="3:12" x14ac:dyDescent="0.25">
      <c r="C41" s="9">
        <v>11</v>
      </c>
      <c r="D41" s="9" t="str">
        <f>IF(C41=11,"Gelondonggede",IF(C41=12,"Brondong", IF(C41=13,"Padikde Talango",IF(C41=14,"Gelondonggede", IF(C41=15,"Brondong")))))</f>
        <v>Gelondonggede</v>
      </c>
      <c r="E41" s="21">
        <v>7.66</v>
      </c>
      <c r="F41" s="9">
        <v>1110</v>
      </c>
      <c r="G41" s="21">
        <v>70.900000000000006</v>
      </c>
      <c r="H41" s="22"/>
      <c r="I41" s="22"/>
      <c r="J41" s="22"/>
      <c r="K41" s="22"/>
      <c r="L41" s="22"/>
    </row>
    <row r="42" spans="3:12" x14ac:dyDescent="0.25">
      <c r="C42" s="9">
        <v>11</v>
      </c>
      <c r="D42" s="9" t="str">
        <f>IF(C42=11,"Gelondonggede",IF(C42=12,"Brondong", IF(C42=13,"Padikde Talango",IF(C42=14,"Gelondonggede", IF(C42=15,"Brondong")))))</f>
        <v>Gelondonggede</v>
      </c>
      <c r="E42" s="21">
        <v>6.44</v>
      </c>
      <c r="F42" s="9">
        <v>1110</v>
      </c>
      <c r="G42" s="21">
        <v>67.8</v>
      </c>
      <c r="H42" s="22"/>
      <c r="I42" s="22"/>
      <c r="J42" s="22"/>
      <c r="K42" s="22"/>
      <c r="L42" s="22"/>
    </row>
    <row r="43" spans="3:12" x14ac:dyDescent="0.25">
      <c r="C43" s="9">
        <v>11</v>
      </c>
      <c r="D43" s="9" t="str">
        <f>IF(C43=11,"Gelondonggede",IF(C43=12,"Brondong", IF(C43=13,"Padikde Talango",IF(C43=14,"Gelondonggede", IF(C43=15,"Brondong")))))</f>
        <v>Gelondonggede</v>
      </c>
      <c r="E43" s="21">
        <v>8.07</v>
      </c>
      <c r="F43" s="9">
        <v>1110</v>
      </c>
      <c r="G43" s="21">
        <v>68.349999999999994</v>
      </c>
      <c r="H43" s="22"/>
      <c r="I43" s="22"/>
      <c r="J43" s="22"/>
      <c r="K43" s="22"/>
      <c r="L43" s="22"/>
    </row>
    <row r="44" spans="3:12" x14ac:dyDescent="0.25">
      <c r="C44" s="9">
        <v>11</v>
      </c>
      <c r="D44" s="9" t="str">
        <f>IF(C44=11,"Gelondonggede",IF(C44=12,"Brondong", IF(C44=13,"Padikde Talango",IF(C44=14,"Gelondonggede", IF(C44=15,"Brondong")))))</f>
        <v>Gelondonggede</v>
      </c>
      <c r="E44" s="21">
        <v>6.2</v>
      </c>
      <c r="F44" s="9">
        <v>1110</v>
      </c>
      <c r="G44" s="21">
        <v>66.37</v>
      </c>
      <c r="H44" s="22"/>
      <c r="I44" s="22"/>
      <c r="J44" s="22"/>
      <c r="K44" s="22"/>
      <c r="L44" s="22"/>
    </row>
    <row r="45" spans="3:12" x14ac:dyDescent="0.25">
      <c r="C45" s="9">
        <v>11</v>
      </c>
      <c r="D45" s="9" t="str">
        <f>IF(C45=11,"Gelondonggede",IF(C45=12,"Brondong", IF(C45=13,"Padikde Talango",IF(C45=14,"Gelondonggede", IF(C45=15,"Brondong")))))</f>
        <v>Gelondonggede</v>
      </c>
      <c r="E45" s="21">
        <v>6.3</v>
      </c>
      <c r="F45" s="9">
        <v>1110</v>
      </c>
      <c r="G45" s="21">
        <v>67.73</v>
      </c>
      <c r="H45" s="22"/>
      <c r="I45" s="22"/>
      <c r="J45" s="22"/>
      <c r="K45" s="22"/>
      <c r="L45" s="22"/>
    </row>
    <row r="46" spans="3:12" x14ac:dyDescent="0.25">
      <c r="C46" s="9">
        <v>11</v>
      </c>
      <c r="D46" s="9" t="str">
        <f>IF(C46=11,"Gelondonggede",IF(C46=12,"Brondong", IF(C46=13,"Padikde Talango",IF(C46=14,"Gelondonggede", IF(C46=15,"Brondong")))))</f>
        <v>Gelondonggede</v>
      </c>
      <c r="E46" s="21">
        <v>7.04</v>
      </c>
      <c r="F46" s="9">
        <v>1110</v>
      </c>
      <c r="G46" s="21">
        <v>68.92</v>
      </c>
      <c r="H46" s="22"/>
      <c r="I46" s="22"/>
      <c r="J46" s="22"/>
      <c r="K46" s="22"/>
      <c r="L46" s="22"/>
    </row>
    <row r="47" spans="3:12" x14ac:dyDescent="0.25">
      <c r="C47" s="9">
        <v>11</v>
      </c>
      <c r="D47" s="9" t="str">
        <f>IF(C47=11,"Gelondonggede",IF(C47=12,"Brondong", IF(C47=13,"Padikde Talango",IF(C47=14,"Gelondonggede", IF(C47=15,"Brondong")))))</f>
        <v>Gelondonggede</v>
      </c>
      <c r="E47" s="21">
        <v>6.04</v>
      </c>
      <c r="F47" s="9">
        <v>1110</v>
      </c>
      <c r="G47" s="21">
        <v>66.569999999999993</v>
      </c>
      <c r="H47" s="22"/>
      <c r="I47" s="22"/>
      <c r="J47" s="22"/>
      <c r="K47" s="22"/>
      <c r="L47" s="22"/>
    </row>
    <row r="48" spans="3:12" x14ac:dyDescent="0.25">
      <c r="C48" s="9">
        <v>11</v>
      </c>
      <c r="D48" s="9" t="str">
        <f>IF(C48=11,"Gelondonggede",IF(C48=12,"Brondong", IF(C48=13,"Padikde Talango",IF(C48=14,"Gelondonggede", IF(C48=15,"Brondong")))))</f>
        <v>Gelondonggede</v>
      </c>
      <c r="E48" s="21">
        <v>5.26</v>
      </c>
      <c r="F48" s="9">
        <v>1110</v>
      </c>
      <c r="G48" s="21">
        <v>65.459999999999994</v>
      </c>
      <c r="H48" s="22"/>
      <c r="I48" s="22"/>
      <c r="J48" s="22"/>
      <c r="K48" s="22"/>
      <c r="L48" s="22"/>
    </row>
    <row r="49" spans="3:12" x14ac:dyDescent="0.25">
      <c r="C49" s="9">
        <v>11</v>
      </c>
      <c r="D49" s="9" t="str">
        <f>IF(C49=11,"Gelondonggede",IF(C49=12,"Brondong", IF(C49=13,"Padikde Talango",IF(C49=14,"Gelondonggede", IF(C49=15,"Brondong")))))</f>
        <v>Gelondonggede</v>
      </c>
      <c r="E49" s="21">
        <v>4.8</v>
      </c>
      <c r="F49" s="9">
        <v>1110</v>
      </c>
      <c r="G49" s="21">
        <v>63.5</v>
      </c>
      <c r="H49" s="22"/>
      <c r="I49" s="22"/>
      <c r="J49" s="22"/>
      <c r="K49" s="22"/>
      <c r="L49" s="22"/>
    </row>
    <row r="50" spans="3:12" x14ac:dyDescent="0.25">
      <c r="C50" s="9">
        <v>11</v>
      </c>
      <c r="D50" s="9" t="str">
        <f>IF(C50=11,"Gelondonggede",IF(C50=12,"Brondong", IF(C50=13,"Padikde Talango",IF(C50=14,"Gelondonggede", IF(C50=15,"Brondong")))))</f>
        <v>Gelondonggede</v>
      </c>
      <c r="E50" s="21">
        <v>2.8</v>
      </c>
      <c r="F50" s="9">
        <v>1110</v>
      </c>
      <c r="G50" s="21">
        <v>58.12</v>
      </c>
      <c r="H50" s="22"/>
      <c r="I50" s="22"/>
      <c r="J50" s="22"/>
      <c r="K50" s="22"/>
      <c r="L50" s="22"/>
    </row>
    <row r="51" spans="3:12" x14ac:dyDescent="0.25">
      <c r="C51" s="9">
        <v>11</v>
      </c>
      <c r="D51" s="9" t="str">
        <f>IF(C51=11,"Gelondonggede",IF(C51=12,"Brondong", IF(C51=13,"Padikde Talango",IF(C51=14,"Gelondonggede", IF(C51=15,"Brondong")))))</f>
        <v>Gelondonggede</v>
      </c>
      <c r="E51" s="23">
        <v>9.51</v>
      </c>
      <c r="F51" s="9">
        <v>1110</v>
      </c>
      <c r="G51" s="23">
        <v>77.739999999999995</v>
      </c>
      <c r="H51" s="22"/>
      <c r="I51" s="22"/>
      <c r="J51" s="22"/>
      <c r="K51" s="22"/>
      <c r="L51" s="22"/>
    </row>
    <row r="52" spans="3:12" x14ac:dyDescent="0.25">
      <c r="C52" s="9">
        <v>11</v>
      </c>
      <c r="D52" s="9" t="str">
        <f>IF(C52=11,"Gelondonggede",IF(C52=12,"Brondong", IF(C52=13,"Padikde Talango",IF(C52=14,"Gelondonggede", IF(C52=15,"Brondong")))))</f>
        <v>Gelondonggede</v>
      </c>
      <c r="E52" s="23">
        <v>6.83</v>
      </c>
      <c r="F52" s="9">
        <v>1110</v>
      </c>
      <c r="G52" s="23">
        <v>71.61</v>
      </c>
      <c r="H52" s="22"/>
      <c r="I52" s="22"/>
      <c r="J52" s="22"/>
      <c r="K52" s="22"/>
      <c r="L52" s="22"/>
    </row>
    <row r="53" spans="3:12" x14ac:dyDescent="0.25">
      <c r="C53" s="9">
        <v>11</v>
      </c>
      <c r="D53" s="9" t="str">
        <f>IF(C53=11,"Gelondonggede",IF(C53=12,"Brondong", IF(C53=13,"Padikde Talango",IF(C53=14,"Gelondonggede", IF(C53=15,"Brondong")))))</f>
        <v>Gelondonggede</v>
      </c>
      <c r="E53" s="23">
        <v>8.4499999999999993</v>
      </c>
      <c r="F53" s="9">
        <v>1110</v>
      </c>
      <c r="G53" s="23">
        <v>75.75</v>
      </c>
      <c r="H53" s="22"/>
      <c r="I53" s="22"/>
      <c r="J53" s="22"/>
      <c r="K53" s="22"/>
      <c r="L53" s="22"/>
    </row>
    <row r="54" spans="3:12" x14ac:dyDescent="0.25">
      <c r="C54" s="9">
        <v>11</v>
      </c>
      <c r="D54" s="9" t="str">
        <f>IF(C54=11,"Gelondonggede",IF(C54=12,"Brondong", IF(C54=13,"Padikde Talango",IF(C54=14,"Gelondonggede", IF(C54=15,"Brondong")))))</f>
        <v>Gelondonggede</v>
      </c>
      <c r="E54" s="23">
        <v>7.85</v>
      </c>
      <c r="F54" s="9">
        <v>1110</v>
      </c>
      <c r="G54" s="23">
        <v>73.58</v>
      </c>
      <c r="H54" s="22"/>
      <c r="I54" s="22"/>
      <c r="J54" s="22"/>
      <c r="K54" s="22"/>
      <c r="L54" s="22"/>
    </row>
    <row r="55" spans="3:12" x14ac:dyDescent="0.25">
      <c r="C55" s="9">
        <v>11</v>
      </c>
      <c r="D55" s="9" t="str">
        <f>IF(C55=11,"Gelondonggede",IF(C55=12,"Brondong", IF(C55=13,"Padikde Talango",IF(C55=14,"Gelondonggede", IF(C55=15,"Brondong")))))</f>
        <v>Gelondonggede</v>
      </c>
      <c r="E55" s="23">
        <v>6.28</v>
      </c>
      <c r="F55" s="9">
        <v>1110</v>
      </c>
      <c r="G55" s="23">
        <v>67.180000000000007</v>
      </c>
      <c r="H55" s="22"/>
      <c r="I55" s="22"/>
      <c r="J55" s="22"/>
      <c r="K55" s="22"/>
      <c r="L55" s="22"/>
    </row>
    <row r="56" spans="3:12" x14ac:dyDescent="0.25">
      <c r="C56" s="9">
        <v>11</v>
      </c>
      <c r="D56" s="9" t="str">
        <f>IF(C56=11,"Gelondonggede",IF(C56=12,"Brondong", IF(C56=13,"Padikde Talango",IF(C56=14,"Gelondonggede", IF(C56=15,"Brondong")))))</f>
        <v>Gelondonggede</v>
      </c>
      <c r="E56" s="23">
        <v>7.77</v>
      </c>
      <c r="F56" s="9">
        <v>1110</v>
      </c>
      <c r="G56" s="23">
        <v>71.430000000000007</v>
      </c>
      <c r="H56" s="22"/>
      <c r="I56" s="22"/>
      <c r="J56" s="22"/>
      <c r="K56" s="22"/>
      <c r="L56" s="22"/>
    </row>
    <row r="57" spans="3:12" x14ac:dyDescent="0.25">
      <c r="C57" s="9">
        <v>11</v>
      </c>
      <c r="D57" s="9" t="str">
        <f>IF(C57=11,"Gelondonggede",IF(C57=12,"Brondong", IF(C57=13,"Padikde Talango",IF(C57=14,"Gelondonggede", IF(C57=15,"Brondong")))))</f>
        <v>Gelondonggede</v>
      </c>
      <c r="E57" s="24">
        <v>5.8</v>
      </c>
      <c r="F57" s="9">
        <v>1110</v>
      </c>
      <c r="G57" s="23">
        <v>67.930000000000007</v>
      </c>
      <c r="H57" s="22"/>
      <c r="I57" s="22"/>
      <c r="J57" s="22"/>
      <c r="K57" s="22"/>
      <c r="L57" s="22"/>
    </row>
    <row r="58" spans="3:12" x14ac:dyDescent="0.25">
      <c r="C58" s="9">
        <v>11</v>
      </c>
      <c r="D58" s="9" t="str">
        <f>IF(C58=11,"Gelondonggede",IF(C58=12,"Brondong", IF(C58=13,"Padikde Talango",IF(C58=14,"Gelondonggede", IF(C58=15,"Brondong")))))</f>
        <v>Gelondonggede</v>
      </c>
      <c r="E58" s="24">
        <v>3</v>
      </c>
      <c r="F58" s="9">
        <v>1110</v>
      </c>
      <c r="G58" s="23">
        <v>57.77</v>
      </c>
      <c r="H58" s="22"/>
      <c r="I58" s="22"/>
      <c r="J58" s="22"/>
      <c r="K58" s="22"/>
      <c r="L58" s="22"/>
    </row>
    <row r="59" spans="3:12" x14ac:dyDescent="0.25">
      <c r="C59" s="9">
        <v>11</v>
      </c>
      <c r="D59" s="9" t="str">
        <f>IF(C59=11,"Gelondonggede",IF(C59=12,"Brondong", IF(C59=13,"Padikde Talango",IF(C59=14,"Gelondonggede", IF(C59=15,"Brondong")))))</f>
        <v>Gelondonggede</v>
      </c>
      <c r="E59" s="21">
        <v>24</v>
      </c>
      <c r="F59" s="9">
        <v>1110</v>
      </c>
      <c r="G59" s="21">
        <v>93.59</v>
      </c>
      <c r="H59" s="22"/>
      <c r="I59" s="22"/>
      <c r="J59" s="22"/>
      <c r="K59" s="22"/>
      <c r="L59" s="22"/>
    </row>
    <row r="60" spans="3:12" x14ac:dyDescent="0.25">
      <c r="C60" s="9">
        <v>11</v>
      </c>
      <c r="D60" s="9" t="str">
        <f>IF(C60=11,"Gelondonggede",IF(C60=12,"Brondong", IF(C60=13,"Padikde Talango",IF(C60=14,"Gelondonggede", IF(C60=15,"Brondong")))))</f>
        <v>Gelondonggede</v>
      </c>
      <c r="E60" s="21">
        <v>19.55</v>
      </c>
      <c r="F60" s="9">
        <v>1110</v>
      </c>
      <c r="G60" s="21">
        <v>87.14</v>
      </c>
      <c r="H60" s="22"/>
      <c r="I60" s="22"/>
      <c r="J60" s="22"/>
      <c r="K60" s="22"/>
      <c r="L60" s="22"/>
    </row>
    <row r="61" spans="3:12" x14ac:dyDescent="0.25">
      <c r="C61" s="9">
        <v>11</v>
      </c>
      <c r="D61" s="9" t="str">
        <f>IF(C61=11,"Gelondonggede",IF(C61=12,"Brondong", IF(C61=13,"Padikde Talango",IF(C61=14,"Gelondonggede", IF(C61=15,"Brondong")))))</f>
        <v>Gelondonggede</v>
      </c>
      <c r="E61" s="21">
        <v>10.199999999999999</v>
      </c>
      <c r="F61" s="9">
        <v>1110</v>
      </c>
      <c r="G61" s="21">
        <v>77.02</v>
      </c>
      <c r="H61" s="22"/>
      <c r="I61" s="22"/>
      <c r="J61" s="22"/>
      <c r="K61" s="22"/>
      <c r="L61" s="22"/>
    </row>
    <row r="62" spans="3:12" x14ac:dyDescent="0.25">
      <c r="C62" s="9">
        <v>11</v>
      </c>
      <c r="D62" s="9" t="str">
        <f>IF(C62=11,"Gelondonggede",IF(C62=12,"Brondong", IF(C62=13,"Padikde Talango",IF(C62=14,"Gelondonggede", IF(C62=15,"Brondong")))))</f>
        <v>Gelondonggede</v>
      </c>
      <c r="E62" s="21">
        <v>14.3</v>
      </c>
      <c r="F62" s="9">
        <v>1110</v>
      </c>
      <c r="G62" s="21">
        <v>79.709999999999994</v>
      </c>
      <c r="H62" s="22"/>
      <c r="I62" s="22"/>
      <c r="J62" s="22"/>
      <c r="K62" s="22"/>
      <c r="L62" s="22"/>
    </row>
    <row r="63" spans="3:12" x14ac:dyDescent="0.25">
      <c r="C63" s="9">
        <v>11</v>
      </c>
      <c r="D63" s="9" t="str">
        <f>IF(C63=11,"Gelondonggede",IF(C63=12,"Brondong", IF(C63=13,"Padikde Talango",IF(C63=14,"Gelondonggede", IF(C63=15,"Brondong")))))</f>
        <v>Gelondonggede</v>
      </c>
      <c r="E63" s="21">
        <v>13.02</v>
      </c>
      <c r="F63" s="9">
        <v>1110</v>
      </c>
      <c r="G63" s="21">
        <v>76.849999999999994</v>
      </c>
      <c r="H63" s="22"/>
      <c r="I63" s="22"/>
      <c r="J63" s="22"/>
      <c r="K63" s="22"/>
      <c r="L63" s="22"/>
    </row>
    <row r="64" spans="3:12" x14ac:dyDescent="0.25">
      <c r="C64" s="9">
        <v>11</v>
      </c>
      <c r="D64" s="9" t="str">
        <f>IF(C64=11,"Gelondonggede",IF(C64=12,"Brondong", IF(C64=13,"Padikde Talango",IF(C64=14,"Gelondonggede", IF(C64=15,"Brondong")))))</f>
        <v>Gelondonggede</v>
      </c>
      <c r="E64" s="21">
        <v>15.94</v>
      </c>
      <c r="F64" s="9">
        <v>1110</v>
      </c>
      <c r="G64" s="21">
        <v>85.81</v>
      </c>
      <c r="H64" s="22"/>
      <c r="I64" s="22"/>
      <c r="J64" s="22"/>
      <c r="K64" s="22"/>
      <c r="L64" s="22"/>
    </row>
    <row r="65" spans="3:12" x14ac:dyDescent="0.25">
      <c r="C65" s="9">
        <v>11</v>
      </c>
      <c r="D65" s="9" t="str">
        <f>IF(C65=11,"Gelondonggede",IF(C65=12,"Brondong", IF(C65=13,"Padikde Talango",IF(C65=14,"Gelondonggede", IF(C65=15,"Brondong")))))</f>
        <v>Gelondonggede</v>
      </c>
      <c r="E65" s="21">
        <v>18.510000000000002</v>
      </c>
      <c r="F65" s="9">
        <v>1110</v>
      </c>
      <c r="G65" s="21">
        <v>89.34</v>
      </c>
      <c r="H65" s="22"/>
      <c r="I65" s="22"/>
      <c r="J65" s="22"/>
      <c r="K65" s="22"/>
      <c r="L65" s="22"/>
    </row>
    <row r="66" spans="3:12" x14ac:dyDescent="0.25">
      <c r="C66" s="9">
        <v>11</v>
      </c>
      <c r="D66" s="9" t="str">
        <f>IF(C66=11,"Gelondonggede",IF(C66=12,"Brondong", IF(C66=13,"Padikde Talango",IF(C66=14,"Gelondonggede", IF(C66=15,"Brondong")))))</f>
        <v>Gelondonggede</v>
      </c>
      <c r="E66" s="21">
        <v>12.36</v>
      </c>
      <c r="F66" s="9">
        <v>1110</v>
      </c>
      <c r="G66" s="21">
        <v>79.680000000000007</v>
      </c>
      <c r="H66" s="22"/>
      <c r="I66" s="22"/>
      <c r="J66" s="22"/>
      <c r="K66" s="22"/>
      <c r="L66" s="22"/>
    </row>
    <row r="67" spans="3:12" x14ac:dyDescent="0.25">
      <c r="C67" s="9">
        <v>11</v>
      </c>
      <c r="D67" s="9" t="str">
        <f>IF(C67=11,"Gelondonggede",IF(C67=12,"Brondong", IF(C67=13,"Padikde Talango",IF(C67=14,"Gelondonggede", IF(C67=15,"Brondong")))))</f>
        <v>Gelondonggede</v>
      </c>
      <c r="E67" s="21">
        <v>10.94</v>
      </c>
      <c r="F67" s="9">
        <v>1110</v>
      </c>
      <c r="G67" s="21">
        <v>74.2</v>
      </c>
      <c r="H67" s="22"/>
      <c r="I67" s="22"/>
      <c r="J67" s="22"/>
      <c r="K67" s="22"/>
      <c r="L67" s="22"/>
    </row>
    <row r="68" spans="3:12" x14ac:dyDescent="0.25">
      <c r="C68" s="9">
        <v>11</v>
      </c>
      <c r="D68" s="9" t="str">
        <f>IF(C68=11,"Gelondonggede",IF(C68=12,"Brondong", IF(C68=13,"Padikde Talango",IF(C68=14,"Gelondonggede", IF(C68=15,"Brondong")))))</f>
        <v>Gelondonggede</v>
      </c>
      <c r="E68" s="21">
        <v>11.43</v>
      </c>
      <c r="F68" s="9">
        <v>1110</v>
      </c>
      <c r="G68" s="21">
        <v>73.03</v>
      </c>
      <c r="H68" s="22"/>
      <c r="I68" s="22"/>
      <c r="J68" s="22"/>
      <c r="K68" s="22"/>
      <c r="L68" s="22"/>
    </row>
    <row r="69" spans="3:12" x14ac:dyDescent="0.25">
      <c r="C69" s="9">
        <v>11</v>
      </c>
      <c r="D69" s="9" t="str">
        <f>IF(C69=11,"Gelondonggede",IF(C69=12,"Brondong", IF(C69=13,"Padikde Talango",IF(C69=14,"Gelondonggede", IF(C69=15,"Brondong")))))</f>
        <v>Gelondonggede</v>
      </c>
      <c r="E69" s="21">
        <v>8.58</v>
      </c>
      <c r="F69" s="9">
        <v>1110</v>
      </c>
      <c r="G69" s="21">
        <v>72.09</v>
      </c>
      <c r="H69" s="22"/>
      <c r="I69" s="22"/>
      <c r="J69" s="22"/>
      <c r="K69" s="22"/>
      <c r="L69" s="22"/>
    </row>
    <row r="70" spans="3:12" x14ac:dyDescent="0.25">
      <c r="C70" s="9">
        <v>11</v>
      </c>
      <c r="D70" s="9" t="str">
        <f>IF(C70=11,"Gelondonggede",IF(C70=12,"Brondong", IF(C70=13,"Padikde Talango",IF(C70=14,"Gelondonggede", IF(C70=15,"Brondong")))))</f>
        <v>Gelondonggede</v>
      </c>
      <c r="E70" s="21">
        <v>10.93</v>
      </c>
      <c r="F70" s="9">
        <v>1110</v>
      </c>
      <c r="G70" s="21">
        <v>74.03</v>
      </c>
      <c r="H70" s="22"/>
      <c r="I70" s="22"/>
      <c r="J70" s="22"/>
      <c r="K70" s="22"/>
      <c r="L70" s="22"/>
    </row>
    <row r="71" spans="3:12" x14ac:dyDescent="0.25">
      <c r="C71" s="9">
        <v>11</v>
      </c>
      <c r="D71" s="9" t="str">
        <f>IF(C71=11,"Gelondonggede",IF(C71=12,"Brondong", IF(C71=13,"Padikde Talango",IF(C71=14,"Gelondonggede", IF(C71=15,"Brondong")))))</f>
        <v>Gelondonggede</v>
      </c>
      <c r="E71" s="21">
        <v>9.27</v>
      </c>
      <c r="F71" s="9">
        <v>1110</v>
      </c>
      <c r="G71" s="21">
        <v>70.87</v>
      </c>
      <c r="H71" s="22"/>
      <c r="I71" s="22"/>
      <c r="J71" s="22"/>
      <c r="K71" s="22"/>
      <c r="L71" s="22"/>
    </row>
    <row r="72" spans="3:12" x14ac:dyDescent="0.25">
      <c r="C72" s="9">
        <v>11</v>
      </c>
      <c r="D72" s="9" t="str">
        <f>IF(C72=11,"Gelondonggede",IF(C72=12,"Brondong", IF(C72=13,"Padikde Talango",IF(C72=14,"Gelondonggede", IF(C72=15,"Brondong")))))</f>
        <v>Gelondonggede</v>
      </c>
      <c r="E72" s="21">
        <v>8.4</v>
      </c>
      <c r="F72" s="9">
        <v>1110</v>
      </c>
      <c r="G72" s="21">
        <v>67.16</v>
      </c>
      <c r="H72" s="22"/>
      <c r="I72" s="22"/>
      <c r="J72" s="22"/>
      <c r="K72" s="22"/>
      <c r="L72" s="22"/>
    </row>
    <row r="73" spans="3:12" x14ac:dyDescent="0.25">
      <c r="C73" s="9">
        <v>11</v>
      </c>
      <c r="D73" s="9" t="str">
        <f>IF(C73=11,"Gelondonggede",IF(C73=12,"Brondong", IF(C73=13,"Padikde Talango",IF(C73=14,"Gelondonggede", IF(C73=15,"Brondong")))))</f>
        <v>Gelondonggede</v>
      </c>
      <c r="E73" s="21">
        <v>9.85</v>
      </c>
      <c r="F73" s="9">
        <v>1110</v>
      </c>
      <c r="G73" s="21">
        <v>70.09</v>
      </c>
      <c r="H73" s="22"/>
      <c r="I73" s="22"/>
      <c r="J73" s="22"/>
      <c r="K73" s="22"/>
      <c r="L73" s="22"/>
    </row>
    <row r="74" spans="3:12" x14ac:dyDescent="0.25">
      <c r="C74" s="9">
        <v>11</v>
      </c>
      <c r="D74" s="9" t="str">
        <f>IF(C74=11,"Gelondonggede",IF(C74=12,"Brondong", IF(C74=13,"Padikde Talango",IF(C74=14,"Gelondonggede", IF(C74=15,"Brondong")))))</f>
        <v>Gelondonggede</v>
      </c>
      <c r="E74" s="21">
        <v>7.94</v>
      </c>
      <c r="F74" s="9">
        <v>1110</v>
      </c>
      <c r="G74" s="21">
        <v>66.739999999999995</v>
      </c>
      <c r="H74" s="22"/>
      <c r="I74" s="22"/>
      <c r="J74" s="22"/>
      <c r="K74" s="22"/>
      <c r="L74" s="22"/>
    </row>
    <row r="75" spans="3:12" x14ac:dyDescent="0.25">
      <c r="C75" s="9">
        <v>11</v>
      </c>
      <c r="D75" s="9" t="str">
        <f>IF(C75=11,"Gelondonggede",IF(C75=12,"Brondong", IF(C75=13,"Padikde Talango",IF(C75=14,"Gelondonggede", IF(C75=15,"Brondong")))))</f>
        <v>Gelondonggede</v>
      </c>
      <c r="E75" s="21">
        <v>6.75</v>
      </c>
      <c r="F75" s="9">
        <v>1110</v>
      </c>
      <c r="G75" s="21">
        <v>60.97</v>
      </c>
      <c r="H75" s="22"/>
      <c r="I75" s="22"/>
      <c r="J75" s="22"/>
      <c r="K75" s="22"/>
      <c r="L75" s="22"/>
    </row>
    <row r="76" spans="3:12" x14ac:dyDescent="0.25">
      <c r="C76" s="9">
        <v>11</v>
      </c>
      <c r="D76" s="9" t="str">
        <f>IF(C76=11,"Gelondonggede",IF(C76=12,"Brondong", IF(C76=13,"Padikde Talango",IF(C76=14,"Gelondonggede", IF(C76=15,"Brondong")))))</f>
        <v>Gelondonggede</v>
      </c>
      <c r="E76" s="21">
        <v>7.42</v>
      </c>
      <c r="F76" s="9">
        <v>1110</v>
      </c>
      <c r="G76" s="21">
        <v>63.92</v>
      </c>
      <c r="H76" s="22"/>
      <c r="I76" s="22"/>
      <c r="J76" s="22"/>
      <c r="K76" s="22"/>
      <c r="L76" s="22"/>
    </row>
    <row r="77" spans="3:12" x14ac:dyDescent="0.25">
      <c r="C77" s="9">
        <v>11</v>
      </c>
      <c r="D77" s="9" t="str">
        <f>IF(C77=11,"Gelondonggede",IF(C77=12,"Brondong", IF(C77=13,"Padikde Talango",IF(C77=14,"Gelondonggede", IF(C77=15,"Brondong")))))</f>
        <v>Gelondonggede</v>
      </c>
      <c r="E77" s="21">
        <v>5.88</v>
      </c>
      <c r="F77" s="9">
        <v>1110</v>
      </c>
      <c r="G77" s="21">
        <v>61.2</v>
      </c>
      <c r="H77" s="22"/>
      <c r="I77" s="22"/>
      <c r="J77" s="22"/>
      <c r="K77" s="22"/>
      <c r="L77" s="22"/>
    </row>
    <row r="78" spans="3:12" x14ac:dyDescent="0.25">
      <c r="C78" s="9">
        <v>11</v>
      </c>
      <c r="D78" s="9" t="str">
        <f>IF(C78=11,"Gelondonggede",IF(C78=12,"Brondong", IF(C78=13,"Padikde Talango",IF(C78=14,"Gelondonggede", IF(C78=15,"Brondong")))))</f>
        <v>Gelondonggede</v>
      </c>
      <c r="E78" s="21">
        <v>5.42</v>
      </c>
      <c r="F78" s="9">
        <v>1110</v>
      </c>
      <c r="G78" s="21">
        <v>58.47</v>
      </c>
      <c r="H78" s="22"/>
      <c r="I78" s="22"/>
      <c r="J78" s="22"/>
      <c r="K78" s="22"/>
      <c r="L78" s="22"/>
    </row>
    <row r="79" spans="3:12" x14ac:dyDescent="0.25">
      <c r="C79" s="9">
        <v>11</v>
      </c>
      <c r="D79" s="9" t="str">
        <f>IF(C79=11,"Gelondonggede",IF(C79=12,"Brondong", IF(C79=13,"Padikde Talango",IF(C79=14,"Gelondonggede", IF(C79=15,"Brondong")))))</f>
        <v>Gelondonggede</v>
      </c>
      <c r="E79" s="21">
        <v>4.4400000000000004</v>
      </c>
      <c r="F79" s="9">
        <v>1110</v>
      </c>
      <c r="G79" s="21">
        <v>55.83</v>
      </c>
      <c r="H79" s="22"/>
      <c r="I79" s="22"/>
      <c r="J79" s="22"/>
      <c r="K79" s="22"/>
      <c r="L79" s="22"/>
    </row>
    <row r="80" spans="3:12" x14ac:dyDescent="0.25">
      <c r="C80" s="9">
        <v>11</v>
      </c>
      <c r="D80" s="9" t="str">
        <f>IF(C80=11,"Gelondonggede",IF(C80=12,"Brondong", IF(C80=13,"Padikde Talango",IF(C80=14,"Gelondonggede", IF(C80=15,"Brondong")))))</f>
        <v>Gelondonggede</v>
      </c>
      <c r="E80" s="21">
        <v>5.23</v>
      </c>
      <c r="F80" s="9">
        <v>1110</v>
      </c>
      <c r="G80" s="21">
        <v>58.62</v>
      </c>
      <c r="H80" s="22"/>
      <c r="I80" s="22"/>
      <c r="J80" s="22"/>
      <c r="K80" s="22"/>
      <c r="L80" s="22"/>
    </row>
    <row r="81" spans="3:12" x14ac:dyDescent="0.25">
      <c r="C81" s="25">
        <v>12</v>
      </c>
      <c r="D81" s="9" t="str">
        <f>IF(C81=11,"Gelondonggede",IF(C81=12,"Brondong", IF(C81=13,"Padikde Talango",IF(C81=14,"Gelondonggede", IF(C81=15,"Brondong")))))</f>
        <v>Brondong</v>
      </c>
      <c r="E81" s="26">
        <v>18.059999999999999</v>
      </c>
      <c r="F81" s="25">
        <v>1110</v>
      </c>
      <c r="G81" s="26">
        <v>83.16</v>
      </c>
      <c r="H81" s="22"/>
      <c r="I81" s="22"/>
      <c r="J81" s="22"/>
      <c r="K81" s="22"/>
      <c r="L81" s="22"/>
    </row>
    <row r="82" spans="3:12" x14ac:dyDescent="0.25">
      <c r="C82" s="25">
        <v>12</v>
      </c>
      <c r="D82" s="9" t="str">
        <f>IF(C82=11,"Gelondonggede",IF(C82=12,"Brondong", IF(C82=13,"Padikde Talango",IF(C82=14,"Gelondonggede", IF(C82=15,"Brondong")))))</f>
        <v>Brondong</v>
      </c>
      <c r="E82" s="26">
        <v>18.75</v>
      </c>
      <c r="F82" s="25">
        <v>1110</v>
      </c>
      <c r="G82" s="26">
        <v>84.66</v>
      </c>
      <c r="H82" s="22"/>
      <c r="I82" s="22"/>
      <c r="J82" s="22"/>
      <c r="K82" s="22"/>
      <c r="L82" s="22"/>
    </row>
    <row r="83" spans="3:12" x14ac:dyDescent="0.25">
      <c r="C83" s="25">
        <v>12</v>
      </c>
      <c r="D83" s="9" t="str">
        <f>IF(C83=11,"Gelondonggede",IF(C83=12,"Brondong", IF(C83=13,"Padikde Talango",IF(C83=14,"Gelondonggede", IF(C83=15,"Brondong")))))</f>
        <v>Brondong</v>
      </c>
      <c r="E83" s="26">
        <v>18.46</v>
      </c>
      <c r="F83" s="25">
        <v>1110</v>
      </c>
      <c r="G83" s="26">
        <v>84.27</v>
      </c>
      <c r="H83" s="22"/>
      <c r="I83" s="22"/>
      <c r="J83" s="22"/>
      <c r="K83" s="22"/>
      <c r="L83" s="22"/>
    </row>
    <row r="84" spans="3:12" x14ac:dyDescent="0.25">
      <c r="C84" s="25">
        <v>12</v>
      </c>
      <c r="D84" s="9" t="str">
        <f>IF(C84=11,"Gelondonggede",IF(C84=12,"Brondong", IF(C84=13,"Padikde Talango",IF(C84=14,"Gelondonggede", IF(C84=15,"Brondong")))))</f>
        <v>Brondong</v>
      </c>
      <c r="E84" s="26">
        <v>22.14</v>
      </c>
      <c r="F84" s="25">
        <v>1110</v>
      </c>
      <c r="G84" s="26">
        <v>93.26</v>
      </c>
      <c r="H84" s="22"/>
      <c r="I84" s="22"/>
      <c r="J84" s="22"/>
      <c r="K84" s="22"/>
      <c r="L84" s="22"/>
    </row>
    <row r="85" spans="3:12" x14ac:dyDescent="0.25">
      <c r="C85" s="25">
        <v>12</v>
      </c>
      <c r="D85" s="9" t="str">
        <f>IF(C85=11,"Gelondonggede",IF(C85=12,"Brondong", IF(C85=13,"Padikde Talango",IF(C85=14,"Gelondonggede", IF(C85=15,"Brondong")))))</f>
        <v>Brondong</v>
      </c>
      <c r="E85" s="26">
        <v>25.63</v>
      </c>
      <c r="F85" s="25">
        <v>1110</v>
      </c>
      <c r="G85" s="26">
        <v>94.45</v>
      </c>
      <c r="H85" s="22"/>
      <c r="I85" s="22"/>
      <c r="J85" s="22"/>
      <c r="K85" s="22"/>
      <c r="L85" s="22"/>
    </row>
    <row r="86" spans="3:12" x14ac:dyDescent="0.25">
      <c r="C86" s="25">
        <v>12</v>
      </c>
      <c r="D86" s="9" t="str">
        <f>IF(C86=11,"Gelondonggede",IF(C86=12,"Brondong", IF(C86=13,"Padikde Talango",IF(C86=14,"Gelondonggede", IF(C86=15,"Brondong")))))</f>
        <v>Brondong</v>
      </c>
      <c r="E86" s="26">
        <v>20.25</v>
      </c>
      <c r="F86" s="25">
        <v>1110</v>
      </c>
      <c r="G86" s="26">
        <v>89.73</v>
      </c>
      <c r="H86" s="22"/>
      <c r="I86" s="22"/>
      <c r="J86" s="22"/>
      <c r="K86" s="22"/>
      <c r="L86" s="22"/>
    </row>
    <row r="87" spans="3:12" x14ac:dyDescent="0.25">
      <c r="C87" s="25">
        <v>12</v>
      </c>
      <c r="D87" s="9" t="str">
        <f>IF(C87=11,"Gelondonggede",IF(C87=12,"Brondong", IF(C87=13,"Padikde Talango",IF(C87=14,"Gelondonggede", IF(C87=15,"Brondong")))))</f>
        <v>Brondong</v>
      </c>
      <c r="E87" s="26">
        <v>27.9</v>
      </c>
      <c r="F87" s="25">
        <v>1110</v>
      </c>
      <c r="G87" s="26">
        <v>98.54</v>
      </c>
      <c r="H87" s="22"/>
      <c r="I87" s="22"/>
      <c r="J87" s="22"/>
      <c r="K87" s="22"/>
      <c r="L87" s="22"/>
    </row>
    <row r="88" spans="3:12" x14ac:dyDescent="0.25">
      <c r="C88" s="25">
        <v>12</v>
      </c>
      <c r="D88" s="9" t="str">
        <f>IF(C88=11,"Gelondonggede",IF(C88=12,"Brondong", IF(C88=13,"Padikde Talango",IF(C88=14,"Gelondonggede", IF(C88=15,"Brondong")))))</f>
        <v>Brondong</v>
      </c>
      <c r="E88" s="26">
        <v>18.39</v>
      </c>
      <c r="F88" s="25">
        <v>1110</v>
      </c>
      <c r="G88" s="26">
        <v>84.52</v>
      </c>
      <c r="H88" s="22"/>
      <c r="I88" s="22"/>
      <c r="J88" s="22"/>
      <c r="K88" s="22"/>
      <c r="L88" s="22"/>
    </row>
    <row r="89" spans="3:12" x14ac:dyDescent="0.25">
      <c r="C89" s="25">
        <v>12</v>
      </c>
      <c r="D89" s="9" t="str">
        <f>IF(C89=11,"Gelondonggede",IF(C89=12,"Brondong", IF(C89=13,"Padikde Talango",IF(C89=14,"Gelondonggede", IF(C89=15,"Brondong")))))</f>
        <v>Brondong</v>
      </c>
      <c r="E89" s="26">
        <v>13.48</v>
      </c>
      <c r="F89" s="25">
        <v>1110</v>
      </c>
      <c r="G89" s="26">
        <v>80.08</v>
      </c>
      <c r="H89" s="22"/>
      <c r="I89" s="22"/>
      <c r="J89" s="22"/>
      <c r="K89" s="22"/>
      <c r="L89" s="22"/>
    </row>
    <row r="90" spans="3:12" x14ac:dyDescent="0.25">
      <c r="C90" s="25">
        <v>12</v>
      </c>
      <c r="D90" s="9" t="str">
        <f>IF(C90=11,"Gelondonggede",IF(C90=12,"Brondong", IF(C90=13,"Padikde Talango",IF(C90=14,"Gelondonggede", IF(C90=15,"Brondong")))))</f>
        <v>Brondong</v>
      </c>
      <c r="E90" s="26">
        <v>19.57</v>
      </c>
      <c r="F90" s="25">
        <v>1110</v>
      </c>
      <c r="G90" s="26">
        <v>87.76</v>
      </c>
      <c r="H90" s="22"/>
      <c r="I90" s="22"/>
      <c r="J90" s="22"/>
      <c r="K90" s="22"/>
      <c r="L90" s="22"/>
    </row>
    <row r="91" spans="3:12" x14ac:dyDescent="0.25">
      <c r="C91" s="25">
        <v>12</v>
      </c>
      <c r="D91" s="9" t="str">
        <f>IF(C91=11,"Gelondonggede",IF(C91=12,"Brondong", IF(C91=13,"Padikde Talango",IF(C91=14,"Gelondonggede", IF(C91=15,"Brondong")))))</f>
        <v>Brondong</v>
      </c>
      <c r="E91" s="26">
        <v>17.809999999999999</v>
      </c>
      <c r="F91" s="25">
        <v>1110</v>
      </c>
      <c r="G91" s="26">
        <v>83.77</v>
      </c>
      <c r="H91" s="22"/>
      <c r="I91" s="22"/>
      <c r="J91" s="22"/>
      <c r="K91" s="22"/>
      <c r="L91" s="22"/>
    </row>
    <row r="92" spans="3:12" x14ac:dyDescent="0.25">
      <c r="C92" s="25">
        <v>12</v>
      </c>
      <c r="D92" s="9" t="str">
        <f>IF(C92=11,"Gelondonggede",IF(C92=12,"Brondong", IF(C92=13,"Padikde Talango",IF(C92=14,"Gelondonggede", IF(C92=15,"Brondong")))))</f>
        <v>Brondong</v>
      </c>
      <c r="E92" s="26">
        <v>19</v>
      </c>
      <c r="F92" s="25">
        <v>1110</v>
      </c>
      <c r="G92" s="26">
        <v>89.03</v>
      </c>
      <c r="H92" s="22"/>
      <c r="I92" s="22"/>
      <c r="J92" s="22"/>
      <c r="K92" s="22"/>
      <c r="L92" s="22"/>
    </row>
    <row r="93" spans="3:12" x14ac:dyDescent="0.25">
      <c r="C93" s="25">
        <v>12</v>
      </c>
      <c r="D93" s="9" t="str">
        <f>IF(C93=11,"Gelondonggede",IF(C93=12,"Brondong", IF(C93=13,"Padikde Talango",IF(C93=14,"Gelondonggede", IF(C93=15,"Brondong")))))</f>
        <v>Brondong</v>
      </c>
      <c r="E93" s="26">
        <v>14.38</v>
      </c>
      <c r="F93" s="25">
        <v>1110</v>
      </c>
      <c r="G93" s="26">
        <v>81.13</v>
      </c>
      <c r="H93" s="22"/>
      <c r="I93" s="22"/>
      <c r="J93" s="22"/>
      <c r="K93" s="22"/>
      <c r="L93" s="22"/>
    </row>
    <row r="94" spans="3:12" x14ac:dyDescent="0.25">
      <c r="C94" s="25">
        <v>12</v>
      </c>
      <c r="D94" s="9" t="str">
        <f>IF(C94=11,"Gelondonggede",IF(C94=12,"Brondong", IF(C94=13,"Padikde Talango",IF(C94=14,"Gelondonggede", IF(C94=15,"Brondong")))))</f>
        <v>Brondong</v>
      </c>
      <c r="E94" s="26">
        <v>12.23</v>
      </c>
      <c r="F94" s="25">
        <v>1110</v>
      </c>
      <c r="G94" s="26">
        <v>75.56</v>
      </c>
      <c r="H94" s="22"/>
      <c r="I94" s="22"/>
      <c r="J94" s="22"/>
      <c r="K94" s="22"/>
      <c r="L94" s="22"/>
    </row>
    <row r="95" spans="3:12" x14ac:dyDescent="0.25">
      <c r="C95" s="25">
        <v>12</v>
      </c>
      <c r="D95" s="9" t="str">
        <f>IF(C95=11,"Gelondonggede",IF(C95=12,"Brondong", IF(C95=13,"Padikde Talango",IF(C95=14,"Gelondonggede", IF(C95=15,"Brondong")))))</f>
        <v>Brondong</v>
      </c>
      <c r="E95" s="26">
        <v>12.76</v>
      </c>
      <c r="F95" s="25">
        <v>1110</v>
      </c>
      <c r="G95" s="26">
        <v>79.09</v>
      </c>
      <c r="H95" s="22"/>
      <c r="I95" s="22"/>
      <c r="J95" s="22"/>
      <c r="K95" s="22"/>
      <c r="L95" s="22"/>
    </row>
    <row r="96" spans="3:12" x14ac:dyDescent="0.25">
      <c r="C96" s="25">
        <v>12</v>
      </c>
      <c r="D96" s="9" t="str">
        <f>IF(C96=11,"Gelondonggede",IF(C96=12,"Brondong", IF(C96=13,"Padikde Talango",IF(C96=14,"Gelondonggede", IF(C96=15,"Brondong")))))</f>
        <v>Brondong</v>
      </c>
      <c r="E96" s="26">
        <v>12.42</v>
      </c>
      <c r="F96" s="25">
        <v>1110</v>
      </c>
      <c r="G96" s="26">
        <v>75.900000000000006</v>
      </c>
      <c r="H96" s="22"/>
      <c r="I96" s="22"/>
      <c r="J96" s="22"/>
      <c r="K96" s="22"/>
      <c r="L96" s="22"/>
    </row>
    <row r="97" spans="3:12" x14ac:dyDescent="0.25">
      <c r="C97" s="25">
        <v>12</v>
      </c>
      <c r="D97" s="9" t="str">
        <f>IF(C97=11,"Gelondonggede",IF(C97=12,"Brondong", IF(C97=13,"Padikde Talango",IF(C97=14,"Gelondonggede", IF(C97=15,"Brondong")))))</f>
        <v>Brondong</v>
      </c>
      <c r="E97" s="26">
        <v>14.72</v>
      </c>
      <c r="F97" s="25">
        <v>1110</v>
      </c>
      <c r="G97" s="26">
        <v>81.61</v>
      </c>
      <c r="H97" s="22"/>
      <c r="I97" s="22"/>
      <c r="J97" s="22"/>
      <c r="K97" s="22"/>
      <c r="L97" s="22"/>
    </row>
    <row r="98" spans="3:12" x14ac:dyDescent="0.25">
      <c r="C98" s="25">
        <v>12</v>
      </c>
      <c r="D98" s="9" t="str">
        <f>IF(C98=11,"Gelondonggede",IF(C98=12,"Brondong", IF(C98=13,"Padikde Talango",IF(C98=14,"Gelondonggede", IF(C98=15,"Brondong")))))</f>
        <v>Brondong</v>
      </c>
      <c r="E98" s="26">
        <v>12.24</v>
      </c>
      <c r="F98" s="25">
        <v>1110</v>
      </c>
      <c r="G98" s="26">
        <v>78.91</v>
      </c>
      <c r="H98" s="22"/>
      <c r="I98" s="22"/>
      <c r="J98" s="22"/>
      <c r="K98" s="22"/>
      <c r="L98" s="22"/>
    </row>
    <row r="99" spans="3:12" x14ac:dyDescent="0.25">
      <c r="C99" s="25">
        <v>12</v>
      </c>
      <c r="D99" s="9" t="str">
        <f>IF(C99=11,"Gelondonggede",IF(C99=12,"Brondong", IF(C99=13,"Padikde Talango",IF(C99=14,"Gelondonggede", IF(C99=15,"Brondong")))))</f>
        <v>Brondong</v>
      </c>
      <c r="E99" s="26">
        <v>11.6</v>
      </c>
      <c r="F99" s="25">
        <v>1110</v>
      </c>
      <c r="G99" s="26">
        <v>75.2</v>
      </c>
      <c r="H99" s="22"/>
      <c r="I99" s="22"/>
      <c r="J99" s="22"/>
      <c r="K99" s="22"/>
      <c r="L99" s="22"/>
    </row>
    <row r="100" spans="3:12" x14ac:dyDescent="0.25">
      <c r="C100" s="25">
        <v>12</v>
      </c>
      <c r="D100" s="9" t="str">
        <f>IF(C100=11,"Gelondonggede",IF(C100=12,"Brondong", IF(C100=13,"Padikde Talango",IF(C100=14,"Gelondonggede", IF(C100=15,"Brondong")))))</f>
        <v>Brondong</v>
      </c>
      <c r="E100" s="26">
        <v>10.23</v>
      </c>
      <c r="F100" s="25">
        <v>1110</v>
      </c>
      <c r="G100" s="26">
        <v>73.02</v>
      </c>
      <c r="H100" s="22"/>
      <c r="I100" s="22"/>
      <c r="J100" s="22"/>
      <c r="K100" s="22"/>
      <c r="L100" s="22"/>
    </row>
    <row r="101" spans="3:12" x14ac:dyDescent="0.25">
      <c r="C101" s="25">
        <v>12</v>
      </c>
      <c r="D101" s="9" t="str">
        <f>IF(C101=11,"Gelondonggede",IF(C101=12,"Brondong", IF(C101=13,"Padikde Talango",IF(C101=14,"Gelondonggede", IF(C101=15,"Brondong")))))</f>
        <v>Brondong</v>
      </c>
      <c r="E101" s="26">
        <v>15.28</v>
      </c>
      <c r="F101" s="25">
        <v>1110</v>
      </c>
      <c r="G101" s="26">
        <v>81.98</v>
      </c>
      <c r="H101" s="22"/>
      <c r="I101" s="22"/>
      <c r="J101" s="22"/>
      <c r="K101" s="22"/>
      <c r="L101" s="22"/>
    </row>
    <row r="102" spans="3:12" x14ac:dyDescent="0.25">
      <c r="C102" s="25">
        <v>12</v>
      </c>
      <c r="D102" s="9" t="str">
        <f>IF(C102=11,"Gelondonggede",IF(C102=12,"Brondong", IF(C102=13,"Padikde Talango",IF(C102=14,"Gelondonggede", IF(C102=15,"Brondong")))))</f>
        <v>Brondong</v>
      </c>
      <c r="E102" s="26">
        <v>11.67</v>
      </c>
      <c r="F102" s="25">
        <v>1110</v>
      </c>
      <c r="G102" s="26">
        <v>75.180000000000007</v>
      </c>
      <c r="H102" s="22"/>
      <c r="I102" s="22"/>
      <c r="J102" s="22"/>
      <c r="K102" s="22"/>
      <c r="L102" s="22"/>
    </row>
    <row r="103" spans="3:12" x14ac:dyDescent="0.25">
      <c r="C103" s="25">
        <v>12</v>
      </c>
      <c r="D103" s="9" t="str">
        <f>IF(C103=11,"Gelondonggede",IF(C103=12,"Brondong", IF(C103=13,"Padikde Talango",IF(C103=14,"Gelondonggede", IF(C103=15,"Brondong")))))</f>
        <v>Brondong</v>
      </c>
      <c r="E103" s="26">
        <v>9.67</v>
      </c>
      <c r="F103" s="25">
        <v>1110</v>
      </c>
      <c r="G103" s="26">
        <v>73.72</v>
      </c>
      <c r="H103" s="22"/>
      <c r="I103" s="22"/>
      <c r="J103" s="22"/>
      <c r="K103" s="22"/>
      <c r="L103" s="22"/>
    </row>
    <row r="104" spans="3:12" x14ac:dyDescent="0.25">
      <c r="C104" s="25">
        <v>12</v>
      </c>
      <c r="D104" s="9" t="str">
        <f>IF(C104=11,"Gelondonggede",IF(C104=12,"Brondong", IF(C104=13,"Padikde Talango",IF(C104=14,"Gelondonggede", IF(C104=15,"Brondong")))))</f>
        <v>Brondong</v>
      </c>
      <c r="E104" s="26">
        <v>9.3800000000000008</v>
      </c>
      <c r="F104" s="25">
        <v>1110</v>
      </c>
      <c r="G104" s="26">
        <v>74.97</v>
      </c>
      <c r="H104" s="22"/>
      <c r="I104" s="22"/>
      <c r="J104" s="22"/>
      <c r="K104" s="22"/>
      <c r="L104" s="22"/>
    </row>
    <row r="105" spans="3:12" x14ac:dyDescent="0.25">
      <c r="C105" s="25">
        <v>12</v>
      </c>
      <c r="D105" s="9" t="str">
        <f>IF(C105=11,"Gelondonggede",IF(C105=12,"Brondong", IF(C105=13,"Padikde Talango",IF(C105=14,"Gelondonggede", IF(C105=15,"Brondong")))))</f>
        <v>Brondong</v>
      </c>
      <c r="E105" s="26">
        <v>11.15</v>
      </c>
      <c r="F105" s="25">
        <v>1110</v>
      </c>
      <c r="G105" s="26">
        <v>77.06</v>
      </c>
      <c r="H105" s="22"/>
      <c r="I105" s="22"/>
      <c r="J105" s="22"/>
      <c r="K105" s="22"/>
      <c r="L105" s="22"/>
    </row>
    <row r="106" spans="3:12" x14ac:dyDescent="0.25">
      <c r="C106" s="25">
        <v>12</v>
      </c>
      <c r="D106" s="9" t="str">
        <f>IF(C106=11,"Gelondonggede",IF(C106=12,"Brondong", IF(C106=13,"Padikde Talango",IF(C106=14,"Gelondonggede", IF(C106=15,"Brondong")))))</f>
        <v>Brondong</v>
      </c>
      <c r="E106" s="26">
        <v>10.34</v>
      </c>
      <c r="F106" s="25">
        <v>1110</v>
      </c>
      <c r="G106" s="26">
        <v>72.040000000000006</v>
      </c>
      <c r="H106" s="22"/>
      <c r="I106" s="22"/>
      <c r="J106" s="22"/>
      <c r="K106" s="22"/>
      <c r="L106" s="22"/>
    </row>
    <row r="107" spans="3:12" x14ac:dyDescent="0.25">
      <c r="C107" s="25">
        <v>12</v>
      </c>
      <c r="D107" s="9" t="str">
        <f>IF(C107=11,"Gelondonggede",IF(C107=12,"Brondong", IF(C107=13,"Padikde Talango",IF(C107=14,"Gelondonggede", IF(C107=15,"Brondong")))))</f>
        <v>Brondong</v>
      </c>
      <c r="E107" s="26">
        <v>10.42</v>
      </c>
      <c r="F107" s="25">
        <v>1110</v>
      </c>
      <c r="G107" s="26">
        <v>71.25</v>
      </c>
      <c r="H107" s="22"/>
      <c r="I107" s="22"/>
      <c r="J107" s="22"/>
      <c r="K107" s="22"/>
      <c r="L107" s="22"/>
    </row>
    <row r="108" spans="3:12" x14ac:dyDescent="0.25">
      <c r="C108" s="25">
        <v>12</v>
      </c>
      <c r="D108" s="9" t="str">
        <f>IF(C108=11,"Gelondonggede",IF(C108=12,"Brondong", IF(C108=13,"Padikde Talango",IF(C108=14,"Gelondonggede", IF(C108=15,"Brondong")))))</f>
        <v>Brondong</v>
      </c>
      <c r="E108" s="26">
        <v>7.83</v>
      </c>
      <c r="F108" s="25">
        <v>1110</v>
      </c>
      <c r="G108" s="26">
        <v>66.95</v>
      </c>
      <c r="H108" s="22"/>
      <c r="I108" s="22"/>
      <c r="J108" s="22"/>
      <c r="K108" s="22"/>
      <c r="L108" s="22"/>
    </row>
    <row r="109" spans="3:12" x14ac:dyDescent="0.25">
      <c r="C109" s="25">
        <v>12</v>
      </c>
      <c r="D109" s="9" t="str">
        <f>IF(C109=11,"Gelondonggede",IF(C109=12,"Brondong", IF(C109=13,"Padikde Talango",IF(C109=14,"Gelondonggede", IF(C109=15,"Brondong")))))</f>
        <v>Brondong</v>
      </c>
      <c r="E109" s="26">
        <v>6.81</v>
      </c>
      <c r="F109" s="25">
        <v>1110</v>
      </c>
      <c r="G109" s="26">
        <v>63.78</v>
      </c>
      <c r="H109" s="22"/>
      <c r="I109" s="22"/>
      <c r="J109" s="22"/>
      <c r="K109" s="22"/>
      <c r="L109" s="22"/>
    </row>
    <row r="110" spans="3:12" x14ac:dyDescent="0.25">
      <c r="C110" s="25">
        <v>12</v>
      </c>
      <c r="D110" s="9" t="str">
        <f>IF(C110=11,"Gelondonggede",IF(C110=12,"Brondong", IF(C110=13,"Padikde Talango",IF(C110=14,"Gelondonggede", IF(C110=15,"Brondong")))))</f>
        <v>Brondong</v>
      </c>
      <c r="E110" s="26">
        <v>7.04</v>
      </c>
      <c r="F110" s="25">
        <v>1110</v>
      </c>
      <c r="G110" s="26">
        <v>65.03</v>
      </c>
      <c r="H110" s="22"/>
      <c r="I110" s="22"/>
      <c r="J110" s="22"/>
      <c r="K110" s="22"/>
      <c r="L110" s="22"/>
    </row>
    <row r="111" spans="3:12" x14ac:dyDescent="0.25">
      <c r="C111" s="25">
        <v>12</v>
      </c>
      <c r="D111" s="9" t="str">
        <f>IF(C111=11,"Gelondonggede",IF(C111=12,"Brondong", IF(C111=13,"Padikde Talango",IF(C111=14,"Gelondonggede", IF(C111=15,"Brondong")))))</f>
        <v>Brondong</v>
      </c>
      <c r="E111" s="26">
        <v>6.35</v>
      </c>
      <c r="F111" s="25">
        <v>1110</v>
      </c>
      <c r="G111" s="26">
        <v>62.77</v>
      </c>
      <c r="H111" s="22"/>
      <c r="I111" s="22"/>
      <c r="J111" s="22"/>
      <c r="K111" s="22"/>
      <c r="L111" s="22"/>
    </row>
    <row r="112" spans="3:12" x14ac:dyDescent="0.25">
      <c r="C112" s="25">
        <v>12</v>
      </c>
      <c r="D112" s="9" t="str">
        <f>IF(C112=11,"Gelondonggede",IF(C112=12,"Brondong", IF(C112=13,"Padikde Talango",IF(C112=14,"Gelondonggede", IF(C112=15,"Brondong")))))</f>
        <v>Brondong</v>
      </c>
      <c r="E112" s="26">
        <v>7.42</v>
      </c>
      <c r="F112" s="25">
        <v>1110</v>
      </c>
      <c r="G112" s="26">
        <v>63.51</v>
      </c>
      <c r="H112" s="22"/>
      <c r="I112" s="22"/>
      <c r="J112" s="22"/>
      <c r="K112" s="22"/>
      <c r="L112" s="22"/>
    </row>
    <row r="113" spans="3:12" x14ac:dyDescent="0.25">
      <c r="C113" s="25">
        <v>12</v>
      </c>
      <c r="D113" s="9" t="str">
        <f>IF(C113=11,"Gelondonggede",IF(C113=12,"Brondong", IF(C113=13,"Padikde Talango",IF(C113=14,"Gelondonggede", IF(C113=15,"Brondong")))))</f>
        <v>Brondong</v>
      </c>
      <c r="E113" s="26">
        <v>7.09</v>
      </c>
      <c r="F113" s="25">
        <v>1110</v>
      </c>
      <c r="G113" s="26">
        <v>63.63</v>
      </c>
      <c r="H113" s="22"/>
      <c r="I113" s="22"/>
      <c r="J113" s="22"/>
      <c r="K113" s="22"/>
      <c r="L113" s="22"/>
    </row>
    <row r="114" spans="3:12" x14ac:dyDescent="0.25">
      <c r="C114" s="25">
        <v>12</v>
      </c>
      <c r="D114" s="9" t="str">
        <f>IF(C114=11,"Gelondonggede",IF(C114=12,"Brondong", IF(C114=13,"Padikde Talango",IF(C114=14,"Gelondonggede", IF(C114=15,"Brondong")))))</f>
        <v>Brondong</v>
      </c>
      <c r="E114" s="26">
        <v>5.74</v>
      </c>
      <c r="F114" s="25">
        <v>1110</v>
      </c>
      <c r="G114" s="26">
        <v>60.68</v>
      </c>
      <c r="H114" s="22"/>
      <c r="I114" s="22"/>
      <c r="J114" s="22"/>
      <c r="K114" s="22"/>
      <c r="L114" s="22"/>
    </row>
    <row r="115" spans="3:12" x14ac:dyDescent="0.25">
      <c r="C115" s="25">
        <v>12</v>
      </c>
      <c r="D115" s="9" t="str">
        <f>IF(C115=11,"Gelondonggede",IF(C115=12,"Brondong", IF(C115=13,"Padikde Talango",IF(C115=14,"Gelondonggede", IF(C115=15,"Brondong")))))</f>
        <v>Brondong</v>
      </c>
      <c r="E115" s="26">
        <v>5.76</v>
      </c>
      <c r="F115" s="25">
        <v>1110</v>
      </c>
      <c r="G115" s="26">
        <v>60.06</v>
      </c>
      <c r="H115" s="22"/>
      <c r="I115" s="22"/>
      <c r="J115" s="22"/>
      <c r="K115" s="22"/>
      <c r="L115" s="22"/>
    </row>
    <row r="116" spans="3:12" x14ac:dyDescent="0.25">
      <c r="C116" s="25">
        <v>12</v>
      </c>
      <c r="D116" s="9" t="str">
        <f>IF(C116=11,"Gelondonggede",IF(C116=12,"Brondong", IF(C116=13,"Padikde Talango",IF(C116=14,"Gelondonggede", IF(C116=15,"Brondong")))))</f>
        <v>Brondong</v>
      </c>
      <c r="E116" s="26">
        <v>5.85</v>
      </c>
      <c r="F116" s="25">
        <v>1110</v>
      </c>
      <c r="G116" s="26">
        <v>63.25</v>
      </c>
      <c r="H116" s="22"/>
      <c r="I116" s="22"/>
      <c r="J116" s="22"/>
      <c r="K116" s="22"/>
      <c r="L116" s="22"/>
    </row>
    <row r="117" spans="3:12" x14ac:dyDescent="0.25">
      <c r="C117" s="25">
        <v>12</v>
      </c>
      <c r="D117" s="9" t="str">
        <f>IF(C117=11,"Gelondonggede",IF(C117=12,"Brondong", IF(C117=13,"Padikde Talango",IF(C117=14,"Gelondonggede", IF(C117=15,"Brondong")))))</f>
        <v>Brondong</v>
      </c>
      <c r="E117" s="26">
        <v>7.03</v>
      </c>
      <c r="F117" s="25">
        <v>1110</v>
      </c>
      <c r="G117" s="26">
        <v>65.150000000000006</v>
      </c>
      <c r="H117" s="22"/>
      <c r="I117" s="22"/>
      <c r="J117" s="22"/>
      <c r="K117" s="22"/>
      <c r="L117" s="22"/>
    </row>
    <row r="118" spans="3:12" x14ac:dyDescent="0.25">
      <c r="C118" s="25">
        <v>12</v>
      </c>
      <c r="D118" s="9" t="str">
        <f>IF(C118=11,"Gelondonggede",IF(C118=12,"Brondong", IF(C118=13,"Padikde Talango",IF(C118=14,"Gelondonggede", IF(C118=15,"Brondong")))))</f>
        <v>Brondong</v>
      </c>
      <c r="E118" s="26">
        <v>5.92</v>
      </c>
      <c r="F118" s="25">
        <v>1110</v>
      </c>
      <c r="G118" s="26">
        <v>62.64</v>
      </c>
      <c r="H118" s="22"/>
      <c r="I118" s="22"/>
      <c r="J118" s="22"/>
      <c r="K118" s="22"/>
      <c r="L118" s="22"/>
    </row>
    <row r="119" spans="3:12" x14ac:dyDescent="0.25">
      <c r="C119" s="25">
        <v>12</v>
      </c>
      <c r="D119" s="9" t="str">
        <f>IF(C119=11,"Gelondonggede",IF(C119=12,"Brondong", IF(C119=13,"Padikde Talango",IF(C119=14,"Gelondonggede", IF(C119=15,"Brondong")))))</f>
        <v>Brondong</v>
      </c>
      <c r="E119" s="26">
        <v>5.41</v>
      </c>
      <c r="F119" s="25">
        <v>1110</v>
      </c>
      <c r="G119" s="26">
        <v>61.05</v>
      </c>
      <c r="H119" s="22"/>
      <c r="I119" s="22"/>
      <c r="J119" s="22"/>
      <c r="K119" s="22"/>
      <c r="L119" s="22"/>
    </row>
    <row r="120" spans="3:12" x14ac:dyDescent="0.25">
      <c r="C120" s="25">
        <v>12</v>
      </c>
      <c r="D120" s="9" t="str">
        <f>IF(C120=11,"Gelondonggede",IF(C120=12,"Brondong", IF(C120=13,"Padikde Talango",IF(C120=14,"Gelondonggede", IF(C120=15,"Brondong")))))</f>
        <v>Brondong</v>
      </c>
      <c r="E120" s="26">
        <v>6.02</v>
      </c>
      <c r="F120" s="25">
        <v>1110</v>
      </c>
      <c r="G120" s="26">
        <v>61.89</v>
      </c>
      <c r="H120" s="22"/>
      <c r="I120" s="22"/>
      <c r="J120" s="22"/>
      <c r="K120" s="22"/>
      <c r="L120" s="22"/>
    </row>
    <row r="121" spans="3:12" x14ac:dyDescent="0.25">
      <c r="C121" s="25">
        <v>12</v>
      </c>
      <c r="D121" s="9" t="str">
        <f>IF(C121=11,"Gelondonggede",IF(C121=12,"Brondong", IF(C121=13,"Padikde Talango",IF(C121=14,"Gelondonggede", IF(C121=15,"Brondong")))))</f>
        <v>Brondong</v>
      </c>
      <c r="E121" s="26">
        <v>5.05</v>
      </c>
      <c r="F121" s="25">
        <v>1110</v>
      </c>
      <c r="G121" s="26">
        <v>62.78</v>
      </c>
      <c r="H121" s="22"/>
      <c r="I121" s="22"/>
      <c r="J121" s="22"/>
      <c r="K121" s="22"/>
      <c r="L121" s="22"/>
    </row>
    <row r="122" spans="3:12" x14ac:dyDescent="0.25">
      <c r="C122" s="25">
        <v>12</v>
      </c>
      <c r="D122" s="9" t="str">
        <f>IF(C122=11,"Gelondonggede",IF(C122=12,"Brondong", IF(C122=13,"Padikde Talango",IF(C122=14,"Gelondonggede", IF(C122=15,"Brondong")))))</f>
        <v>Brondong</v>
      </c>
      <c r="E122" s="26">
        <v>5.71</v>
      </c>
      <c r="F122" s="25">
        <v>1110</v>
      </c>
      <c r="G122" s="26">
        <v>61.31</v>
      </c>
      <c r="H122" s="22"/>
      <c r="I122" s="22"/>
      <c r="J122" s="22"/>
      <c r="K122" s="22"/>
      <c r="L122" s="22"/>
    </row>
    <row r="123" spans="3:12" x14ac:dyDescent="0.25">
      <c r="C123" s="25">
        <v>12</v>
      </c>
      <c r="D123" s="9" t="str">
        <f>IF(C123=11,"Gelondonggede",IF(C123=12,"Brondong", IF(C123=13,"Padikde Talango",IF(C123=14,"Gelondonggede", IF(C123=15,"Brondong")))))</f>
        <v>Brondong</v>
      </c>
      <c r="E123" s="26">
        <v>5.33</v>
      </c>
      <c r="F123" s="25">
        <v>1110</v>
      </c>
      <c r="G123" s="26">
        <v>61.6</v>
      </c>
      <c r="H123" s="22"/>
      <c r="I123" s="22"/>
      <c r="J123" s="22"/>
      <c r="K123" s="22"/>
      <c r="L123" s="22"/>
    </row>
    <row r="124" spans="3:12" x14ac:dyDescent="0.25">
      <c r="C124" s="25">
        <v>12</v>
      </c>
      <c r="D124" s="9" t="str">
        <f>IF(C124=11,"Gelondonggede",IF(C124=12,"Brondong", IF(C124=13,"Padikde Talango",IF(C124=14,"Gelondonggede", IF(C124=15,"Brondong")))))</f>
        <v>Brondong</v>
      </c>
      <c r="E124" s="26">
        <v>5.5</v>
      </c>
      <c r="F124" s="25">
        <v>1110</v>
      </c>
      <c r="G124" s="26">
        <v>61.26</v>
      </c>
      <c r="H124" s="22"/>
      <c r="I124" s="22"/>
      <c r="J124" s="22"/>
      <c r="K124" s="22"/>
      <c r="L124" s="22"/>
    </row>
    <row r="125" spans="3:12" x14ac:dyDescent="0.25">
      <c r="C125" s="25">
        <v>12</v>
      </c>
      <c r="D125" s="9" t="str">
        <f>IF(C125=11,"Gelondonggede",IF(C125=12,"Brondong", IF(C125=13,"Padikde Talango",IF(C125=14,"Gelondonggede", IF(C125=15,"Brondong")))))</f>
        <v>Brondong</v>
      </c>
      <c r="E125" s="26">
        <v>5.55</v>
      </c>
      <c r="F125" s="25">
        <v>1110</v>
      </c>
      <c r="G125" s="26">
        <v>60.97</v>
      </c>
      <c r="H125" s="22"/>
      <c r="I125" s="22"/>
      <c r="J125" s="22"/>
      <c r="K125" s="22"/>
      <c r="L125" s="22"/>
    </row>
    <row r="126" spans="3:12" x14ac:dyDescent="0.25">
      <c r="C126" s="25">
        <v>12</v>
      </c>
      <c r="D126" s="9" t="str">
        <f>IF(C126=11,"Gelondonggede",IF(C126=12,"Brondong", IF(C126=13,"Padikde Talango",IF(C126=14,"Gelondonggede", IF(C126=15,"Brondong")))))</f>
        <v>Brondong</v>
      </c>
      <c r="E126" s="26">
        <v>5.49</v>
      </c>
      <c r="F126" s="25">
        <v>1110</v>
      </c>
      <c r="G126" s="26">
        <v>59.75</v>
      </c>
      <c r="H126" s="22"/>
      <c r="I126" s="22"/>
      <c r="J126" s="22"/>
      <c r="K126" s="22"/>
      <c r="L126" s="22"/>
    </row>
    <row r="127" spans="3:12" x14ac:dyDescent="0.25">
      <c r="C127" s="25">
        <v>12</v>
      </c>
      <c r="D127" s="9" t="str">
        <f>IF(C127=11,"Gelondonggede",IF(C127=12,"Brondong", IF(C127=13,"Padikde Talango",IF(C127=14,"Gelondonggede", IF(C127=15,"Brondong")))))</f>
        <v>Brondong</v>
      </c>
      <c r="E127" s="26">
        <v>4.58</v>
      </c>
      <c r="F127" s="25">
        <v>1110</v>
      </c>
      <c r="G127" s="26">
        <v>60.63</v>
      </c>
      <c r="H127" s="22"/>
      <c r="I127" s="22"/>
      <c r="J127" s="22"/>
      <c r="K127" s="22"/>
      <c r="L127" s="22"/>
    </row>
    <row r="128" spans="3:12" x14ac:dyDescent="0.25">
      <c r="C128" s="25">
        <v>12</v>
      </c>
      <c r="D128" s="9" t="str">
        <f>IF(C128=11,"Gelondonggede",IF(C128=12,"Brondong", IF(C128=13,"Padikde Talango",IF(C128=14,"Gelondonggede", IF(C128=15,"Brondong")))))</f>
        <v>Brondong</v>
      </c>
      <c r="E128" s="26">
        <v>4.8</v>
      </c>
      <c r="F128" s="25">
        <v>1110</v>
      </c>
      <c r="G128" s="26">
        <v>58.65</v>
      </c>
      <c r="H128" s="22"/>
      <c r="I128" s="22"/>
      <c r="J128" s="22"/>
      <c r="K128" s="22"/>
      <c r="L128" s="22"/>
    </row>
    <row r="129" spans="3:12" x14ac:dyDescent="0.25">
      <c r="C129" s="25">
        <v>12</v>
      </c>
      <c r="D129" s="9" t="str">
        <f>IF(C129=11,"Gelondonggede",IF(C129=12,"Brondong", IF(C129=13,"Padikde Talango",IF(C129=14,"Gelondonggede", IF(C129=15,"Brondong")))))</f>
        <v>Brondong</v>
      </c>
      <c r="E129" s="26">
        <v>4.4000000000000004</v>
      </c>
      <c r="F129" s="25">
        <v>1110</v>
      </c>
      <c r="G129" s="26">
        <v>56.79</v>
      </c>
      <c r="H129" s="22"/>
      <c r="I129" s="22"/>
      <c r="J129" s="22"/>
      <c r="K129" s="22"/>
      <c r="L129" s="22"/>
    </row>
    <row r="130" spans="3:12" x14ac:dyDescent="0.25">
      <c r="C130" s="25">
        <v>12</v>
      </c>
      <c r="D130" s="9" t="str">
        <f>IF(C130=11,"Gelondonggede",IF(C130=12,"Brondong", IF(C130=13,"Padikde Talango",IF(C130=14,"Gelondonggede", IF(C130=15,"Brondong")))))</f>
        <v>Brondong</v>
      </c>
      <c r="E130" s="26">
        <v>5.19</v>
      </c>
      <c r="F130" s="25">
        <v>1110</v>
      </c>
      <c r="G130" s="26">
        <v>58.84</v>
      </c>
      <c r="H130" s="22"/>
      <c r="I130" s="22"/>
      <c r="J130" s="22"/>
      <c r="K130" s="22"/>
      <c r="L130" s="22"/>
    </row>
    <row r="131" spans="3:12" x14ac:dyDescent="0.25">
      <c r="C131" s="25">
        <v>12</v>
      </c>
      <c r="D131" s="9" t="str">
        <f>IF(C131=11,"Gelondonggede",IF(C131=12,"Brondong", IF(C131=13,"Padikde Talango",IF(C131=14,"Gelondonggede", IF(C131=15,"Brondong")))))</f>
        <v>Brondong</v>
      </c>
      <c r="E131" s="26">
        <v>4.6399999999999997</v>
      </c>
      <c r="F131" s="25">
        <v>1110</v>
      </c>
      <c r="G131" s="26">
        <v>58.94</v>
      </c>
      <c r="H131" s="22"/>
      <c r="I131" s="22"/>
      <c r="J131" s="22"/>
      <c r="K131" s="22"/>
      <c r="L131" s="22"/>
    </row>
    <row r="132" spans="3:12" x14ac:dyDescent="0.25">
      <c r="C132" s="25">
        <v>12</v>
      </c>
      <c r="D132" s="9" t="str">
        <f>IF(C132=11,"Gelondonggede",IF(C132=12,"Brondong", IF(C132=13,"Padikde Talango",IF(C132=14,"Gelondonggede", IF(C132=15,"Brondong")))))</f>
        <v>Brondong</v>
      </c>
      <c r="E132" s="26">
        <v>4.6900000000000004</v>
      </c>
      <c r="F132" s="25">
        <v>1110</v>
      </c>
      <c r="G132" s="26">
        <v>58.52</v>
      </c>
      <c r="H132" s="22"/>
      <c r="I132" s="22"/>
      <c r="J132" s="22"/>
      <c r="K132" s="22"/>
      <c r="L132" s="22"/>
    </row>
    <row r="133" spans="3:12" x14ac:dyDescent="0.25">
      <c r="C133" s="25">
        <v>12</v>
      </c>
      <c r="D133" s="9" t="str">
        <f>IF(C133=11,"Gelondonggede",IF(C133=12,"Brondong", IF(C133=13,"Padikde Talango",IF(C133=14,"Gelondonggede", IF(C133=15,"Brondong")))))</f>
        <v>Brondong</v>
      </c>
      <c r="E133" s="26">
        <v>4.7</v>
      </c>
      <c r="F133" s="25">
        <v>1110</v>
      </c>
      <c r="G133" s="26">
        <v>58.54</v>
      </c>
      <c r="H133" s="22"/>
      <c r="I133" s="22"/>
      <c r="J133" s="22"/>
      <c r="K133" s="22"/>
      <c r="L133" s="22"/>
    </row>
    <row r="134" spans="3:12" x14ac:dyDescent="0.25">
      <c r="C134" s="25">
        <v>12</v>
      </c>
      <c r="D134" s="9" t="str">
        <f>IF(C134=11,"Gelondonggede",IF(C134=12,"Brondong", IF(C134=13,"Padikde Talango",IF(C134=14,"Gelondonggede", IF(C134=15,"Brondong")))))</f>
        <v>Brondong</v>
      </c>
      <c r="E134" s="26">
        <v>4.13</v>
      </c>
      <c r="F134" s="25">
        <v>1110</v>
      </c>
      <c r="G134" s="26">
        <v>58.22</v>
      </c>
      <c r="H134" s="22"/>
      <c r="I134" s="22"/>
      <c r="J134" s="22"/>
      <c r="K134" s="22"/>
      <c r="L134" s="22"/>
    </row>
    <row r="135" spans="3:12" x14ac:dyDescent="0.25">
      <c r="C135" s="25">
        <v>12</v>
      </c>
      <c r="D135" s="9" t="str">
        <f>IF(C135=11,"Gelondonggede",IF(C135=12,"Brondong", IF(C135=13,"Padikde Talango",IF(C135=14,"Gelondonggede", IF(C135=15,"Brondong")))))</f>
        <v>Brondong</v>
      </c>
      <c r="E135" s="26">
        <v>3.9</v>
      </c>
      <c r="F135" s="25">
        <v>1110</v>
      </c>
      <c r="G135" s="26">
        <v>55.68</v>
      </c>
      <c r="H135" s="22"/>
      <c r="I135" s="22"/>
      <c r="J135" s="22"/>
      <c r="K135" s="22"/>
      <c r="L135" s="22"/>
    </row>
    <row r="136" spans="3:12" x14ac:dyDescent="0.25">
      <c r="C136" s="25">
        <v>12</v>
      </c>
      <c r="D136" s="9" t="str">
        <f>IF(C136=11,"Gelondonggede",IF(C136=12,"Brondong", IF(C136=13,"Padikde Talango",IF(C136=14,"Gelondonggede", IF(C136=15,"Brondong")))))</f>
        <v>Brondong</v>
      </c>
      <c r="E136" s="26">
        <v>4.17</v>
      </c>
      <c r="F136" s="25">
        <v>1110</v>
      </c>
      <c r="G136" s="26">
        <v>55.6</v>
      </c>
      <c r="H136" s="22"/>
      <c r="I136" s="22"/>
      <c r="J136" s="22"/>
      <c r="K136" s="22"/>
      <c r="L136" s="22"/>
    </row>
    <row r="137" spans="3:12" x14ac:dyDescent="0.25">
      <c r="C137" s="25">
        <v>12</v>
      </c>
      <c r="D137" s="9" t="str">
        <f>IF(C137=11,"Gelondonggede",IF(C137=12,"Brondong", IF(C137=13,"Padikde Talango",IF(C137=14,"Gelondonggede", IF(C137=15,"Brondong")))))</f>
        <v>Brondong</v>
      </c>
      <c r="E137" s="26">
        <v>4.57</v>
      </c>
      <c r="F137" s="25">
        <v>1110</v>
      </c>
      <c r="G137" s="26">
        <v>57.32</v>
      </c>
      <c r="H137" s="22"/>
      <c r="I137" s="22"/>
      <c r="J137" s="22"/>
      <c r="K137" s="22"/>
      <c r="L137" s="22"/>
    </row>
    <row r="138" spans="3:12" x14ac:dyDescent="0.25">
      <c r="C138" s="25">
        <v>12</v>
      </c>
      <c r="D138" s="9" t="str">
        <f>IF(C138=11,"Gelondonggede",IF(C138=12,"Brondong", IF(C138=13,"Padikde Talango",IF(C138=14,"Gelondonggede", IF(C138=15,"Brondong")))))</f>
        <v>Brondong</v>
      </c>
      <c r="E138" s="26">
        <v>4.16</v>
      </c>
      <c r="F138" s="25">
        <v>1110</v>
      </c>
      <c r="G138" s="26">
        <v>59.67</v>
      </c>
      <c r="H138" s="22"/>
      <c r="I138" s="22"/>
      <c r="J138" s="22"/>
      <c r="K138" s="22"/>
      <c r="L138" s="22"/>
    </row>
    <row r="139" spans="3:12" x14ac:dyDescent="0.25">
      <c r="C139" s="25">
        <v>12</v>
      </c>
      <c r="D139" s="9" t="str">
        <f>IF(C139=11,"Gelondonggede",IF(C139=12,"Brondong", IF(C139=13,"Padikde Talango",IF(C139=14,"Gelondonggede", IF(C139=15,"Brondong")))))</f>
        <v>Brondong</v>
      </c>
      <c r="E139" s="26">
        <v>3.36</v>
      </c>
      <c r="F139" s="25">
        <v>1110</v>
      </c>
      <c r="G139" s="26">
        <v>54.97</v>
      </c>
      <c r="H139" s="22"/>
      <c r="I139" s="22"/>
      <c r="J139" s="22"/>
      <c r="K139" s="22"/>
      <c r="L139" s="22"/>
    </row>
    <row r="140" spans="3:12" x14ac:dyDescent="0.25">
      <c r="C140" s="25">
        <v>12</v>
      </c>
      <c r="D140" s="9" t="str">
        <f>IF(C140=11,"Gelondonggede",IF(C140=12,"Brondong", IF(C140=13,"Padikde Talango",IF(C140=14,"Gelondonggede", IF(C140=15,"Brondong")))))</f>
        <v>Brondong</v>
      </c>
      <c r="E140" s="27">
        <v>4.82</v>
      </c>
      <c r="F140" s="28">
        <v>1110</v>
      </c>
      <c r="G140" s="27">
        <v>63.19</v>
      </c>
      <c r="H140" s="22"/>
      <c r="I140" s="22"/>
      <c r="J140" s="22"/>
      <c r="K140" s="22"/>
      <c r="L140" s="22"/>
    </row>
    <row r="141" spans="3:12" x14ac:dyDescent="0.25">
      <c r="C141" s="25">
        <v>12</v>
      </c>
      <c r="D141" s="9" t="str">
        <f>IF(C141=11,"Gelondonggede",IF(C141=12,"Brondong", IF(C141=13,"Padikde Talango",IF(C141=14,"Gelondonggede", IF(C141=15,"Brondong")))))</f>
        <v>Brondong</v>
      </c>
      <c r="E141" s="29">
        <v>24.67</v>
      </c>
      <c r="F141" s="28">
        <v>1110</v>
      </c>
      <c r="G141" s="29">
        <v>88.43</v>
      </c>
      <c r="H141" s="22"/>
      <c r="I141" s="22"/>
      <c r="J141" s="22"/>
      <c r="K141" s="22"/>
      <c r="L141" s="22"/>
    </row>
    <row r="142" spans="3:12" x14ac:dyDescent="0.25">
      <c r="C142" s="25">
        <v>12</v>
      </c>
      <c r="D142" s="9" t="str">
        <f>IF(C142=11,"Gelondonggede",IF(C142=12,"Brondong", IF(C142=13,"Padikde Talango",IF(C142=14,"Gelondonggede", IF(C142=15,"Brondong")))))</f>
        <v>Brondong</v>
      </c>
      <c r="E142" s="29">
        <v>24.73</v>
      </c>
      <c r="F142" s="28">
        <v>1110</v>
      </c>
      <c r="G142" s="29">
        <v>89.23</v>
      </c>
      <c r="H142" s="22"/>
      <c r="I142" s="22"/>
      <c r="J142" s="22"/>
      <c r="K142" s="22"/>
      <c r="L142" s="22"/>
    </row>
    <row r="143" spans="3:12" x14ac:dyDescent="0.25">
      <c r="C143" s="25">
        <v>12</v>
      </c>
      <c r="D143" s="9" t="str">
        <f>IF(C143=11,"Gelondonggede",IF(C143=12,"Brondong", IF(C143=13,"Padikde Talango",IF(C143=14,"Gelondonggede", IF(C143=15,"Brondong")))))</f>
        <v>Brondong</v>
      </c>
      <c r="E143" s="29">
        <v>25.04</v>
      </c>
      <c r="F143" s="28">
        <v>1110</v>
      </c>
      <c r="G143" s="29">
        <v>87.61</v>
      </c>
      <c r="H143" s="22"/>
      <c r="I143" s="22"/>
      <c r="J143" s="22"/>
      <c r="K143" s="22"/>
      <c r="L143" s="22"/>
    </row>
    <row r="144" spans="3:12" x14ac:dyDescent="0.25">
      <c r="C144" s="25">
        <v>12</v>
      </c>
      <c r="D144" s="9" t="str">
        <f>IF(C144=11,"Gelondonggede",IF(C144=12,"Brondong", IF(C144=13,"Padikde Talango",IF(C144=14,"Gelondonggede", IF(C144=15,"Brondong")))))</f>
        <v>Brondong</v>
      </c>
      <c r="E144" s="29">
        <v>21.11</v>
      </c>
      <c r="F144" s="28">
        <v>1110</v>
      </c>
      <c r="G144" s="29">
        <v>86.82</v>
      </c>
      <c r="H144" s="22"/>
      <c r="I144" s="22"/>
      <c r="J144" s="22"/>
      <c r="K144" s="22"/>
      <c r="L144" s="22"/>
    </row>
    <row r="145" spans="3:12" x14ac:dyDescent="0.25">
      <c r="C145" s="25">
        <v>12</v>
      </c>
      <c r="D145" s="9" t="str">
        <f>IF(C145=11,"Gelondonggede",IF(C145=12,"Brondong", IF(C145=13,"Padikde Talango",IF(C145=14,"Gelondonggede", IF(C145=15,"Brondong")))))</f>
        <v>Brondong</v>
      </c>
      <c r="E145" s="29">
        <v>17.68</v>
      </c>
      <c r="F145" s="28">
        <v>1110</v>
      </c>
      <c r="G145" s="29">
        <v>82.91</v>
      </c>
      <c r="H145" s="22"/>
      <c r="I145" s="22"/>
      <c r="J145" s="22"/>
      <c r="K145" s="22"/>
      <c r="L145" s="22"/>
    </row>
    <row r="146" spans="3:12" x14ac:dyDescent="0.25">
      <c r="C146" s="25">
        <v>12</v>
      </c>
      <c r="D146" s="9" t="str">
        <f>IF(C146=11,"Gelondonggede",IF(C146=12,"Brondong", IF(C146=13,"Padikde Talango",IF(C146=14,"Gelondonggede", IF(C146=15,"Brondong")))))</f>
        <v>Brondong</v>
      </c>
      <c r="E146" s="29">
        <v>17.14</v>
      </c>
      <c r="F146" s="28">
        <v>1110</v>
      </c>
      <c r="G146" s="29">
        <v>79.83</v>
      </c>
      <c r="H146" s="22"/>
      <c r="I146" s="22"/>
      <c r="J146" s="22"/>
      <c r="K146" s="22"/>
      <c r="L146" s="22"/>
    </row>
    <row r="147" spans="3:12" x14ac:dyDescent="0.25">
      <c r="C147" s="25">
        <v>12</v>
      </c>
      <c r="D147" s="9" t="str">
        <f>IF(C147=11,"Gelondonggede",IF(C147=12,"Brondong", IF(C147=13,"Padikde Talango",IF(C147=14,"Gelondonggede", IF(C147=15,"Brondong")))))</f>
        <v>Brondong</v>
      </c>
      <c r="E147" s="29">
        <v>16.38</v>
      </c>
      <c r="F147" s="28">
        <v>1110</v>
      </c>
      <c r="G147" s="29">
        <v>78.13</v>
      </c>
      <c r="H147" s="22"/>
      <c r="I147" s="22"/>
      <c r="J147" s="22"/>
      <c r="K147" s="22"/>
      <c r="L147" s="22"/>
    </row>
    <row r="148" spans="3:12" x14ac:dyDescent="0.25">
      <c r="C148" s="25">
        <v>12</v>
      </c>
      <c r="D148" s="9" t="str">
        <f>IF(C148=11,"Gelondonggede",IF(C148=12,"Brondong", IF(C148=13,"Padikde Talango",IF(C148=14,"Gelondonggede", IF(C148=15,"Brondong")))))</f>
        <v>Brondong</v>
      </c>
      <c r="E148" s="29">
        <v>16.89</v>
      </c>
      <c r="F148" s="28">
        <v>1110</v>
      </c>
      <c r="G148" s="29">
        <v>82.52</v>
      </c>
      <c r="H148" s="22"/>
      <c r="I148" s="22"/>
      <c r="J148" s="22"/>
      <c r="K148" s="22"/>
      <c r="L148" s="22"/>
    </row>
    <row r="149" spans="3:12" x14ac:dyDescent="0.25">
      <c r="C149" s="25">
        <v>12</v>
      </c>
      <c r="D149" s="9" t="str">
        <f>IF(C149=11,"Gelondonggede",IF(C149=12,"Brondong", IF(C149=13,"Padikde Talango",IF(C149=14,"Gelondonggede", IF(C149=15,"Brondong")))))</f>
        <v>Brondong</v>
      </c>
      <c r="E149" s="29">
        <v>17.21</v>
      </c>
      <c r="F149" s="28">
        <v>1110</v>
      </c>
      <c r="G149" s="29">
        <v>79.48</v>
      </c>
      <c r="H149" s="22"/>
      <c r="I149" s="22"/>
      <c r="J149" s="22"/>
      <c r="K149" s="22"/>
      <c r="L149" s="22"/>
    </row>
    <row r="150" spans="3:12" x14ac:dyDescent="0.25">
      <c r="C150" s="25">
        <v>12</v>
      </c>
      <c r="D150" s="9" t="str">
        <f>IF(C150=11,"Gelondonggede",IF(C150=12,"Brondong", IF(C150=13,"Padikde Talango",IF(C150=14,"Gelondonggede", IF(C150=15,"Brondong")))))</f>
        <v>Brondong</v>
      </c>
      <c r="E150" s="29">
        <v>11.86</v>
      </c>
      <c r="F150" s="28">
        <v>1110</v>
      </c>
      <c r="G150" s="29">
        <v>76.959999999999994</v>
      </c>
      <c r="H150" s="22"/>
      <c r="I150" s="22"/>
      <c r="J150" s="22"/>
      <c r="K150" s="22"/>
      <c r="L150" s="22"/>
    </row>
    <row r="151" spans="3:12" x14ac:dyDescent="0.25">
      <c r="C151" s="25">
        <v>12</v>
      </c>
      <c r="D151" s="9" t="str">
        <f>IF(C151=11,"Gelondonggede",IF(C151=12,"Brondong", IF(C151=13,"Padikde Talango",IF(C151=14,"Gelondonggede", IF(C151=15,"Brondong")))))</f>
        <v>Brondong</v>
      </c>
      <c r="E151" s="29">
        <v>12.78</v>
      </c>
      <c r="F151" s="28">
        <v>1110</v>
      </c>
      <c r="G151" s="29">
        <v>77.17</v>
      </c>
      <c r="H151" s="22"/>
      <c r="I151" s="22"/>
      <c r="J151" s="22"/>
      <c r="K151" s="22"/>
      <c r="L151" s="22"/>
    </row>
    <row r="152" spans="3:12" x14ac:dyDescent="0.25">
      <c r="C152" s="25">
        <v>12</v>
      </c>
      <c r="D152" s="9" t="str">
        <f>IF(C152=11,"Gelondonggede",IF(C152=12,"Brondong", IF(C152=13,"Padikde Talango",IF(C152=14,"Gelondonggede", IF(C152=15,"Brondong")))))</f>
        <v>Brondong</v>
      </c>
      <c r="E152" s="29">
        <v>13.27</v>
      </c>
      <c r="F152" s="28">
        <v>1110</v>
      </c>
      <c r="G152" s="29">
        <v>80.55</v>
      </c>
      <c r="H152" s="22"/>
      <c r="I152" s="22"/>
      <c r="J152" s="22"/>
      <c r="K152" s="22"/>
      <c r="L152" s="22"/>
    </row>
    <row r="153" spans="3:12" x14ac:dyDescent="0.25">
      <c r="C153" s="25">
        <v>12</v>
      </c>
      <c r="D153" s="9" t="str">
        <f>IF(C153=11,"Gelondonggede",IF(C153=12,"Brondong", IF(C153=13,"Padikde Talango",IF(C153=14,"Gelondonggede", IF(C153=15,"Brondong")))))</f>
        <v>Brondong</v>
      </c>
      <c r="E153" s="29">
        <v>16.39</v>
      </c>
      <c r="F153" s="28">
        <v>1110</v>
      </c>
      <c r="G153" s="29">
        <v>81.06</v>
      </c>
      <c r="H153" s="22"/>
      <c r="I153" s="22"/>
      <c r="J153" s="22"/>
      <c r="K153" s="22"/>
      <c r="L153" s="22"/>
    </row>
    <row r="154" spans="3:12" x14ac:dyDescent="0.25">
      <c r="C154" s="25">
        <v>12</v>
      </c>
      <c r="D154" s="9" t="str">
        <f>IF(C154=11,"Gelondonggede",IF(C154=12,"Brondong", IF(C154=13,"Padikde Talango",IF(C154=14,"Gelondonggede", IF(C154=15,"Brondong")))))</f>
        <v>Brondong</v>
      </c>
      <c r="E154" s="29">
        <v>11.53</v>
      </c>
      <c r="F154" s="28">
        <v>1110</v>
      </c>
      <c r="G154" s="29">
        <v>75.510000000000005</v>
      </c>
      <c r="H154" s="22"/>
      <c r="I154" s="22"/>
      <c r="J154" s="22"/>
      <c r="K154" s="22"/>
      <c r="L154" s="22"/>
    </row>
    <row r="155" spans="3:12" x14ac:dyDescent="0.25">
      <c r="C155" s="25">
        <v>12</v>
      </c>
      <c r="D155" s="9" t="str">
        <f>IF(C155=11,"Gelondonggede",IF(C155=12,"Brondong", IF(C155=13,"Padikde Talango",IF(C155=14,"Gelondonggede", IF(C155=15,"Brondong")))))</f>
        <v>Brondong</v>
      </c>
      <c r="E155" s="29">
        <v>11.58</v>
      </c>
      <c r="F155" s="28">
        <v>1110</v>
      </c>
      <c r="G155" s="29">
        <v>73.760000000000005</v>
      </c>
      <c r="H155" s="22"/>
      <c r="I155" s="22"/>
      <c r="J155" s="22"/>
      <c r="K155" s="22"/>
      <c r="L155" s="22"/>
    </row>
    <row r="156" spans="3:12" x14ac:dyDescent="0.25">
      <c r="C156" s="25">
        <v>12</v>
      </c>
      <c r="D156" s="9" t="str">
        <f>IF(C156=11,"Gelondonggede",IF(C156=12,"Brondong", IF(C156=13,"Padikde Talango",IF(C156=14,"Gelondonggede", IF(C156=15,"Brondong")))))</f>
        <v>Brondong</v>
      </c>
      <c r="E156" s="29">
        <v>10.8</v>
      </c>
      <c r="F156" s="28">
        <v>1110</v>
      </c>
      <c r="G156" s="29">
        <v>74.61</v>
      </c>
      <c r="H156" s="22"/>
      <c r="I156" s="22"/>
      <c r="J156" s="22"/>
      <c r="K156" s="22"/>
      <c r="L156" s="22"/>
    </row>
    <row r="157" spans="3:12" x14ac:dyDescent="0.25">
      <c r="C157" s="25">
        <v>12</v>
      </c>
      <c r="D157" s="9" t="str">
        <f>IF(C157=11,"Gelondonggede",IF(C157=12,"Brondong", IF(C157=13,"Padikde Talango",IF(C157=14,"Gelondonggede", IF(C157=15,"Brondong")))))</f>
        <v>Brondong</v>
      </c>
      <c r="E157" s="29">
        <v>10.87</v>
      </c>
      <c r="F157" s="28">
        <v>1110</v>
      </c>
      <c r="G157" s="29">
        <v>70.97</v>
      </c>
      <c r="H157" s="22"/>
      <c r="I157" s="22"/>
      <c r="J157" s="22"/>
      <c r="K157" s="22"/>
      <c r="L157" s="22"/>
    </row>
    <row r="158" spans="3:12" x14ac:dyDescent="0.25">
      <c r="C158" s="25">
        <v>12</v>
      </c>
      <c r="D158" s="9" t="str">
        <f>IF(C158=11,"Gelondonggede",IF(C158=12,"Brondong", IF(C158=13,"Padikde Talango",IF(C158=14,"Gelondonggede", IF(C158=15,"Brondong")))))</f>
        <v>Brondong</v>
      </c>
      <c r="E158" s="29">
        <v>11.6</v>
      </c>
      <c r="F158" s="28">
        <v>1110</v>
      </c>
      <c r="G158" s="29">
        <v>69.97</v>
      </c>
      <c r="H158" s="22"/>
      <c r="I158" s="22"/>
      <c r="J158" s="22"/>
      <c r="K158" s="22"/>
      <c r="L158" s="22"/>
    </row>
    <row r="159" spans="3:12" x14ac:dyDescent="0.25">
      <c r="C159" s="25">
        <v>12</v>
      </c>
      <c r="D159" s="9" t="str">
        <f>IF(C159=11,"Gelondonggede",IF(C159=12,"Brondong", IF(C159=13,"Padikde Talango",IF(C159=14,"Gelondonggede", IF(C159=15,"Brondong")))))</f>
        <v>Brondong</v>
      </c>
      <c r="E159" s="29">
        <v>9.93</v>
      </c>
      <c r="F159" s="28">
        <v>1110</v>
      </c>
      <c r="G159" s="29">
        <v>73.97</v>
      </c>
      <c r="H159" s="22"/>
      <c r="I159" s="22"/>
      <c r="J159" s="22"/>
      <c r="K159" s="22"/>
      <c r="L159" s="22"/>
    </row>
    <row r="160" spans="3:12" x14ac:dyDescent="0.25">
      <c r="C160" s="25">
        <v>12</v>
      </c>
      <c r="D160" s="9" t="str">
        <f>IF(C160=11,"Gelondonggede",IF(C160=12,"Brondong", IF(C160=13,"Padikde Talango",IF(C160=14,"Gelondonggede", IF(C160=15,"Brondong")))))</f>
        <v>Brondong</v>
      </c>
      <c r="E160" s="29">
        <v>10.17</v>
      </c>
      <c r="F160" s="28">
        <v>1110</v>
      </c>
      <c r="G160" s="29">
        <v>67.400000000000006</v>
      </c>
      <c r="H160" s="22"/>
      <c r="I160" s="22"/>
      <c r="J160" s="22"/>
      <c r="K160" s="22"/>
      <c r="L160" s="22"/>
    </row>
    <row r="161" spans="3:12" x14ac:dyDescent="0.25">
      <c r="C161" s="25">
        <v>12</v>
      </c>
      <c r="D161" s="9" t="str">
        <f>IF(C161=11,"Gelondonggede",IF(C161=12,"Brondong", IF(C161=13,"Padikde Talango",IF(C161=14,"Gelondonggede", IF(C161=15,"Brondong")))))</f>
        <v>Brondong</v>
      </c>
      <c r="E161" s="29">
        <v>12.55</v>
      </c>
      <c r="F161" s="28">
        <v>1110</v>
      </c>
      <c r="G161" s="29">
        <v>72.97</v>
      </c>
      <c r="H161" s="22"/>
      <c r="I161" s="22"/>
      <c r="J161" s="22"/>
      <c r="K161" s="22"/>
      <c r="L161" s="22"/>
    </row>
    <row r="162" spans="3:12" x14ac:dyDescent="0.25">
      <c r="C162" s="25">
        <v>12</v>
      </c>
      <c r="D162" s="9" t="str">
        <f>IF(C162=11,"Gelondonggede",IF(C162=12,"Brondong", IF(C162=13,"Padikde Talango",IF(C162=14,"Gelondonggede", IF(C162=15,"Brondong")))))</f>
        <v>Brondong</v>
      </c>
      <c r="E162" s="29">
        <v>10.95</v>
      </c>
      <c r="F162" s="28">
        <v>1110</v>
      </c>
      <c r="G162" s="29">
        <v>71.260000000000005</v>
      </c>
      <c r="H162" s="22"/>
      <c r="I162" s="22"/>
      <c r="J162" s="22"/>
      <c r="K162" s="22"/>
      <c r="L162" s="22"/>
    </row>
    <row r="163" spans="3:12" x14ac:dyDescent="0.25">
      <c r="C163" s="25">
        <v>12</v>
      </c>
      <c r="D163" s="9" t="str">
        <f>IF(C163=11,"Gelondonggede",IF(C163=12,"Brondong", IF(C163=13,"Padikde Talango",IF(C163=14,"Gelondonggede", IF(C163=15,"Brondong")))))</f>
        <v>Brondong</v>
      </c>
      <c r="E163" s="29">
        <v>11.28</v>
      </c>
      <c r="F163" s="28">
        <v>1110</v>
      </c>
      <c r="G163" s="29">
        <v>69.73</v>
      </c>
      <c r="H163" s="22"/>
      <c r="I163" s="22"/>
      <c r="J163" s="22"/>
      <c r="K163" s="22"/>
      <c r="L163" s="22"/>
    </row>
    <row r="164" spans="3:12" x14ac:dyDescent="0.25">
      <c r="C164" s="25">
        <v>12</v>
      </c>
      <c r="D164" s="9" t="str">
        <f>IF(C164=11,"Gelondonggede",IF(C164=12,"Brondong", IF(C164=13,"Padikde Talango",IF(C164=14,"Gelondonggede", IF(C164=15,"Brondong")))))</f>
        <v>Brondong</v>
      </c>
      <c r="E164" s="29">
        <v>10.79</v>
      </c>
      <c r="F164" s="28">
        <v>1110</v>
      </c>
      <c r="G164" s="29">
        <v>71.52</v>
      </c>
      <c r="H164" s="22"/>
      <c r="I164" s="22"/>
      <c r="J164" s="22"/>
      <c r="K164" s="22"/>
      <c r="L164" s="22"/>
    </row>
    <row r="165" spans="3:12" x14ac:dyDescent="0.25">
      <c r="C165" s="25">
        <v>12</v>
      </c>
      <c r="D165" s="9" t="str">
        <f>IF(C165=11,"Gelondonggede",IF(C165=12,"Brondong", IF(C165=13,"Padikde Talango",IF(C165=14,"Gelondonggede", IF(C165=15,"Brondong")))))</f>
        <v>Brondong</v>
      </c>
      <c r="E165" s="29">
        <v>9.7899999999999991</v>
      </c>
      <c r="F165" s="28">
        <v>1110</v>
      </c>
      <c r="G165" s="29">
        <v>72.14</v>
      </c>
      <c r="H165" s="22"/>
      <c r="I165" s="22"/>
      <c r="J165" s="22"/>
      <c r="K165" s="22"/>
      <c r="L165" s="22"/>
    </row>
    <row r="166" spans="3:12" x14ac:dyDescent="0.25">
      <c r="C166" s="25">
        <v>12</v>
      </c>
      <c r="D166" s="9" t="str">
        <f>IF(C166=11,"Gelondonggede",IF(C166=12,"Brondong", IF(C166=13,"Padikde Talango",IF(C166=14,"Gelondonggede", IF(C166=15,"Brondong")))))</f>
        <v>Brondong</v>
      </c>
      <c r="E166" s="29">
        <v>11.77</v>
      </c>
      <c r="F166" s="28">
        <v>1110</v>
      </c>
      <c r="G166" s="29">
        <v>71.11</v>
      </c>
      <c r="H166" s="22"/>
      <c r="I166" s="22"/>
      <c r="J166" s="22"/>
      <c r="K166" s="22"/>
      <c r="L166" s="22"/>
    </row>
    <row r="167" spans="3:12" x14ac:dyDescent="0.25">
      <c r="C167" s="25">
        <v>12</v>
      </c>
      <c r="D167" s="9" t="str">
        <f>IF(C167=11,"Gelondonggede",IF(C167=12,"Brondong", IF(C167=13,"Padikde Talango",IF(C167=14,"Gelondonggede", IF(C167=15,"Brondong")))))</f>
        <v>Brondong</v>
      </c>
      <c r="E167" s="29">
        <v>10.14</v>
      </c>
      <c r="F167" s="28">
        <v>1110</v>
      </c>
      <c r="G167" s="29">
        <v>68.13</v>
      </c>
      <c r="H167" s="22"/>
      <c r="I167" s="22"/>
      <c r="J167" s="22"/>
      <c r="K167" s="22"/>
      <c r="L167" s="22"/>
    </row>
    <row r="168" spans="3:12" x14ac:dyDescent="0.25">
      <c r="C168" s="25">
        <v>12</v>
      </c>
      <c r="D168" s="9" t="str">
        <f>IF(C168=11,"Gelondonggede",IF(C168=12,"Brondong", IF(C168=13,"Padikde Talango",IF(C168=14,"Gelondonggede", IF(C168=15,"Brondong")))))</f>
        <v>Brondong</v>
      </c>
      <c r="E168" s="29">
        <v>8.08</v>
      </c>
      <c r="F168" s="28">
        <v>1110</v>
      </c>
      <c r="G168" s="29">
        <v>70.989999999999995</v>
      </c>
      <c r="H168" s="22"/>
      <c r="I168" s="22"/>
      <c r="J168" s="22"/>
      <c r="K168" s="22"/>
      <c r="L168" s="22"/>
    </row>
    <row r="169" spans="3:12" x14ac:dyDescent="0.25">
      <c r="C169" s="25">
        <v>12</v>
      </c>
      <c r="D169" s="9" t="str">
        <f>IF(C169=11,"Gelondonggede",IF(C169=12,"Brondong", IF(C169=13,"Padikde Talango",IF(C169=14,"Gelondonggede", IF(C169=15,"Brondong")))))</f>
        <v>Brondong</v>
      </c>
      <c r="E169" s="29">
        <v>9.93</v>
      </c>
      <c r="F169" s="28">
        <v>1110</v>
      </c>
      <c r="G169" s="29">
        <v>69.569999999999993</v>
      </c>
      <c r="H169" s="22"/>
      <c r="I169" s="22"/>
      <c r="J169" s="22"/>
      <c r="K169" s="22"/>
      <c r="L169" s="22"/>
    </row>
    <row r="170" spans="3:12" x14ac:dyDescent="0.25">
      <c r="C170" s="25">
        <v>12</v>
      </c>
      <c r="D170" s="9" t="str">
        <f>IF(C170=11,"Gelondonggede",IF(C170=12,"Brondong", IF(C170=13,"Padikde Talango",IF(C170=14,"Gelondonggede", IF(C170=15,"Brondong")))))</f>
        <v>Brondong</v>
      </c>
      <c r="E170" s="29">
        <v>8.5500000000000007</v>
      </c>
      <c r="F170" s="28">
        <v>1110</v>
      </c>
      <c r="G170" s="29">
        <v>66.77</v>
      </c>
      <c r="H170" s="22"/>
      <c r="I170" s="22"/>
      <c r="J170" s="22"/>
      <c r="K170" s="22"/>
      <c r="L170" s="22"/>
    </row>
    <row r="171" spans="3:12" x14ac:dyDescent="0.25">
      <c r="C171" s="25">
        <v>12</v>
      </c>
      <c r="D171" s="9" t="str">
        <f>IF(C171=11,"Gelondonggede",IF(C171=12,"Brondong", IF(C171=13,"Padikde Talango",IF(C171=14,"Gelondonggede", IF(C171=15,"Brondong")))))</f>
        <v>Brondong</v>
      </c>
      <c r="E171" s="29">
        <v>8.09</v>
      </c>
      <c r="F171" s="28">
        <v>1110</v>
      </c>
      <c r="G171" s="29">
        <v>70.67</v>
      </c>
      <c r="H171" s="22"/>
      <c r="I171" s="22"/>
      <c r="J171" s="22"/>
      <c r="K171" s="22"/>
      <c r="L171" s="22"/>
    </row>
    <row r="172" spans="3:12" x14ac:dyDescent="0.25">
      <c r="C172" s="25">
        <v>12</v>
      </c>
      <c r="D172" s="9" t="str">
        <f>IF(C172=11,"Gelondonggede",IF(C172=12,"Brondong", IF(C172=13,"Padikde Talango",IF(C172=14,"Gelondonggede", IF(C172=15,"Brondong")))))</f>
        <v>Brondong</v>
      </c>
      <c r="E172" s="29">
        <v>9.61</v>
      </c>
      <c r="F172" s="28">
        <v>1110</v>
      </c>
      <c r="G172" s="29">
        <v>68.52</v>
      </c>
      <c r="H172" s="22"/>
      <c r="I172" s="22"/>
      <c r="J172" s="22"/>
      <c r="K172" s="22"/>
      <c r="L172" s="22"/>
    </row>
    <row r="173" spans="3:12" x14ac:dyDescent="0.25">
      <c r="C173" s="25">
        <v>12</v>
      </c>
      <c r="D173" s="9" t="str">
        <f>IF(C173=11,"Gelondonggede",IF(C173=12,"Brondong", IF(C173=13,"Padikde Talango",IF(C173=14,"Gelondonggede", IF(C173=15,"Brondong")))))</f>
        <v>Brondong</v>
      </c>
      <c r="E173" s="29">
        <v>11.37</v>
      </c>
      <c r="F173" s="28">
        <v>1110</v>
      </c>
      <c r="G173" s="29">
        <v>72.63</v>
      </c>
      <c r="H173" s="22"/>
      <c r="I173" s="22"/>
      <c r="J173" s="22"/>
      <c r="K173" s="22"/>
      <c r="L173" s="22"/>
    </row>
    <row r="174" spans="3:12" x14ac:dyDescent="0.25">
      <c r="C174" s="25">
        <v>12</v>
      </c>
      <c r="D174" s="9" t="str">
        <f>IF(C174=11,"Gelondonggede",IF(C174=12,"Brondong", IF(C174=13,"Padikde Talango",IF(C174=14,"Gelondonggede", IF(C174=15,"Brondong")))))</f>
        <v>Brondong</v>
      </c>
      <c r="E174" s="29">
        <v>9.74</v>
      </c>
      <c r="F174" s="28">
        <v>1110</v>
      </c>
      <c r="G174" s="29">
        <v>68.2</v>
      </c>
      <c r="H174" s="22"/>
      <c r="I174" s="22"/>
      <c r="J174" s="22"/>
      <c r="K174" s="22"/>
      <c r="L174" s="22"/>
    </row>
    <row r="175" spans="3:12" x14ac:dyDescent="0.25">
      <c r="C175" s="25">
        <v>12</v>
      </c>
      <c r="D175" s="9" t="str">
        <f>IF(C175=11,"Gelondonggede",IF(C175=12,"Brondong", IF(C175=13,"Padikde Talango",IF(C175=14,"Gelondonggede", IF(C175=15,"Brondong")))))</f>
        <v>Brondong</v>
      </c>
      <c r="E175" s="29">
        <v>7.59</v>
      </c>
      <c r="F175" s="28">
        <v>1110</v>
      </c>
      <c r="G175" s="29">
        <v>66.89</v>
      </c>
      <c r="H175" s="22"/>
      <c r="I175" s="22"/>
      <c r="J175" s="22"/>
      <c r="K175" s="22"/>
      <c r="L175" s="22"/>
    </row>
    <row r="176" spans="3:12" x14ac:dyDescent="0.25">
      <c r="C176" s="25">
        <v>12</v>
      </c>
      <c r="D176" s="9" t="str">
        <f>IF(C176=11,"Gelondonggede",IF(C176=12,"Brondong", IF(C176=13,"Padikde Talango",IF(C176=14,"Gelondonggede", IF(C176=15,"Brondong")))))</f>
        <v>Brondong</v>
      </c>
      <c r="E176" s="29">
        <v>7.48</v>
      </c>
      <c r="F176" s="28">
        <v>1110</v>
      </c>
      <c r="G176" s="29">
        <v>66.8</v>
      </c>
      <c r="H176" s="22"/>
      <c r="I176" s="22"/>
      <c r="J176" s="22"/>
      <c r="K176" s="22"/>
      <c r="L176" s="22"/>
    </row>
    <row r="177" spans="3:12" x14ac:dyDescent="0.25">
      <c r="C177" s="25">
        <v>12</v>
      </c>
      <c r="D177" s="9" t="str">
        <f>IF(C177=11,"Gelondonggede",IF(C177=12,"Brondong", IF(C177=13,"Padikde Talango",IF(C177=14,"Gelondonggede", IF(C177=15,"Brondong")))))</f>
        <v>Brondong</v>
      </c>
      <c r="E177" s="29">
        <v>8.24</v>
      </c>
      <c r="F177" s="28">
        <v>1110</v>
      </c>
      <c r="G177" s="29">
        <v>69.12</v>
      </c>
      <c r="H177" s="22"/>
      <c r="I177" s="22"/>
      <c r="J177" s="22"/>
      <c r="K177" s="22"/>
      <c r="L177" s="22"/>
    </row>
    <row r="178" spans="3:12" x14ac:dyDescent="0.25">
      <c r="C178" s="25">
        <v>12</v>
      </c>
      <c r="D178" s="9" t="str">
        <f>IF(C178=11,"Gelondonggede",IF(C178=12,"Brondong", IF(C178=13,"Padikde Talango",IF(C178=14,"Gelondonggede", IF(C178=15,"Brondong")))))</f>
        <v>Brondong</v>
      </c>
      <c r="E178" s="29">
        <v>9.56</v>
      </c>
      <c r="F178" s="28">
        <v>1110</v>
      </c>
      <c r="G178" s="29">
        <v>72.45</v>
      </c>
      <c r="H178" s="22"/>
      <c r="I178" s="22"/>
      <c r="J178" s="22"/>
      <c r="K178" s="22"/>
      <c r="L178" s="22"/>
    </row>
    <row r="179" spans="3:12" x14ac:dyDescent="0.25">
      <c r="C179" s="25">
        <v>12</v>
      </c>
      <c r="D179" s="9" t="str">
        <f>IF(C179=11,"Gelondonggede",IF(C179=12,"Brondong", IF(C179=13,"Padikde Talango",IF(C179=14,"Gelondonggede", IF(C179=15,"Brondong")))))</f>
        <v>Brondong</v>
      </c>
      <c r="E179" s="29">
        <v>8.85</v>
      </c>
      <c r="F179" s="28">
        <v>1110</v>
      </c>
      <c r="G179" s="29">
        <v>70.66</v>
      </c>
      <c r="H179" s="22"/>
      <c r="I179" s="22"/>
      <c r="J179" s="22"/>
      <c r="K179" s="22"/>
      <c r="L179" s="22"/>
    </row>
    <row r="180" spans="3:12" x14ac:dyDescent="0.25">
      <c r="C180" s="25">
        <v>12</v>
      </c>
      <c r="D180" s="9" t="str">
        <f>IF(C180=11,"Gelondonggede",IF(C180=12,"Brondong", IF(C180=13,"Padikde Talango",IF(C180=14,"Gelondonggede", IF(C180=15,"Brondong")))))</f>
        <v>Brondong</v>
      </c>
      <c r="E180" s="29">
        <v>8.0299999999999994</v>
      </c>
      <c r="F180" s="28">
        <v>1110</v>
      </c>
      <c r="G180" s="29">
        <v>65.849999999999994</v>
      </c>
      <c r="H180" s="22"/>
      <c r="I180" s="22"/>
      <c r="J180" s="22"/>
      <c r="K180" s="22"/>
      <c r="L180" s="22"/>
    </row>
    <row r="181" spans="3:12" x14ac:dyDescent="0.25">
      <c r="C181" s="25">
        <v>12</v>
      </c>
      <c r="D181" s="9" t="str">
        <f>IF(C181=11,"Gelondonggede",IF(C181=12,"Brondong", IF(C181=13,"Padikde Talango",IF(C181=14,"Gelondonggede", IF(C181=15,"Brondong")))))</f>
        <v>Brondong</v>
      </c>
      <c r="E181" s="29">
        <v>7.63</v>
      </c>
      <c r="F181" s="28">
        <v>1110</v>
      </c>
      <c r="G181" s="29">
        <v>68.03</v>
      </c>
      <c r="H181" s="22"/>
      <c r="I181" s="22"/>
      <c r="J181" s="22"/>
      <c r="K181" s="22"/>
      <c r="L181" s="22"/>
    </row>
    <row r="182" spans="3:12" x14ac:dyDescent="0.25">
      <c r="C182" s="25">
        <v>12</v>
      </c>
      <c r="D182" s="9" t="str">
        <f>IF(C182=11,"Gelondonggede",IF(C182=12,"Brondong", IF(C182=13,"Padikde Talango",IF(C182=14,"Gelondonggede", IF(C182=15,"Brondong")))))</f>
        <v>Brondong</v>
      </c>
      <c r="E182" s="29">
        <v>8.48</v>
      </c>
      <c r="F182" s="28">
        <v>1110</v>
      </c>
      <c r="G182" s="29">
        <v>68.599999999999994</v>
      </c>
      <c r="H182" s="22"/>
      <c r="I182" s="22"/>
      <c r="J182" s="22"/>
      <c r="K182" s="22"/>
      <c r="L182" s="22"/>
    </row>
    <row r="183" spans="3:12" x14ac:dyDescent="0.25">
      <c r="C183" s="25">
        <v>12</v>
      </c>
      <c r="D183" s="9" t="str">
        <f>IF(C183=11,"Gelondonggede",IF(C183=12,"Brondong", IF(C183=13,"Padikde Talango",IF(C183=14,"Gelondonggede", IF(C183=15,"Brondong")))))</f>
        <v>Brondong</v>
      </c>
      <c r="E183" s="29">
        <v>7.54</v>
      </c>
      <c r="F183" s="28">
        <v>1110</v>
      </c>
      <c r="G183" s="29">
        <v>67.98</v>
      </c>
      <c r="H183" s="22"/>
      <c r="I183" s="22"/>
      <c r="J183" s="22"/>
      <c r="K183" s="22"/>
      <c r="L183" s="22"/>
    </row>
    <row r="184" spans="3:12" x14ac:dyDescent="0.25">
      <c r="C184" s="25">
        <v>12</v>
      </c>
      <c r="D184" s="9" t="str">
        <f>IF(C184=11,"Gelondonggede",IF(C184=12,"Brondong", IF(C184=13,"Padikde Talango",IF(C184=14,"Gelondonggede", IF(C184=15,"Brondong")))))</f>
        <v>Brondong</v>
      </c>
      <c r="E184" s="29">
        <v>7.36</v>
      </c>
      <c r="F184" s="28">
        <v>1110</v>
      </c>
      <c r="G184" s="29">
        <v>67.040000000000006</v>
      </c>
      <c r="H184" s="22"/>
      <c r="I184" s="22"/>
      <c r="J184" s="22"/>
      <c r="K184" s="22"/>
      <c r="L184" s="22"/>
    </row>
    <row r="185" spans="3:12" x14ac:dyDescent="0.25">
      <c r="C185" s="25">
        <v>12</v>
      </c>
      <c r="D185" s="9" t="str">
        <f>IF(C185=11,"Gelondonggede",IF(C185=12,"Brondong", IF(C185=13,"Padikde Talango",IF(C185=14,"Gelondonggede", IF(C185=15,"Brondong")))))</f>
        <v>Brondong</v>
      </c>
      <c r="E185" s="29">
        <v>7.55</v>
      </c>
      <c r="F185" s="28">
        <v>1110</v>
      </c>
      <c r="G185" s="29">
        <v>68.63</v>
      </c>
      <c r="H185" s="22"/>
      <c r="I185" s="22"/>
      <c r="J185" s="22"/>
      <c r="K185" s="22"/>
      <c r="L185" s="22"/>
    </row>
    <row r="186" spans="3:12" x14ac:dyDescent="0.25">
      <c r="C186" s="25">
        <v>12</v>
      </c>
      <c r="D186" s="9" t="str">
        <f>IF(C186=11,"Gelondonggede",IF(C186=12,"Brondong", IF(C186=13,"Padikde Talango",IF(C186=14,"Gelondonggede", IF(C186=15,"Brondong")))))</f>
        <v>Brondong</v>
      </c>
      <c r="E186" s="29">
        <v>6.28</v>
      </c>
      <c r="F186" s="28">
        <v>1110</v>
      </c>
      <c r="G186" s="29">
        <v>66.900000000000006</v>
      </c>
      <c r="H186" s="22"/>
      <c r="I186" s="22"/>
      <c r="J186" s="22"/>
      <c r="K186" s="22"/>
      <c r="L186" s="22"/>
    </row>
    <row r="187" spans="3:12" x14ac:dyDescent="0.25">
      <c r="C187" s="25">
        <v>12</v>
      </c>
      <c r="D187" s="9" t="str">
        <f>IF(C187=11,"Gelondonggede",IF(C187=12,"Brondong", IF(C187=13,"Padikde Talango",IF(C187=14,"Gelondonggede", IF(C187=15,"Brondong")))))</f>
        <v>Brondong</v>
      </c>
      <c r="E187" s="29">
        <v>7.26</v>
      </c>
      <c r="F187" s="28">
        <v>1110</v>
      </c>
      <c r="G187" s="29">
        <v>64.88</v>
      </c>
      <c r="H187" s="22"/>
      <c r="I187" s="22"/>
      <c r="J187" s="22"/>
      <c r="K187" s="22"/>
      <c r="L187" s="22"/>
    </row>
    <row r="188" spans="3:12" x14ac:dyDescent="0.25">
      <c r="C188" s="25">
        <v>12</v>
      </c>
      <c r="D188" s="9" t="str">
        <f>IF(C188=11,"Gelondonggede",IF(C188=12,"Brondong", IF(C188=13,"Padikde Talango",IF(C188=14,"Gelondonggede", IF(C188=15,"Brondong")))))</f>
        <v>Brondong</v>
      </c>
      <c r="E188" s="29">
        <v>7.53</v>
      </c>
      <c r="F188" s="28">
        <v>1110</v>
      </c>
      <c r="G188" s="29">
        <v>66.180000000000007</v>
      </c>
      <c r="H188" s="22"/>
      <c r="I188" s="22"/>
      <c r="J188" s="22"/>
      <c r="K188" s="22"/>
      <c r="L188" s="22"/>
    </row>
    <row r="189" spans="3:12" x14ac:dyDescent="0.25">
      <c r="C189" s="25">
        <v>12</v>
      </c>
      <c r="D189" s="9" t="str">
        <f>IF(C189=11,"Gelondonggede",IF(C189=12,"Brondong", IF(C189=13,"Padikde Talango",IF(C189=14,"Gelondonggede", IF(C189=15,"Brondong")))))</f>
        <v>Brondong</v>
      </c>
      <c r="E189" s="29">
        <v>7.3</v>
      </c>
      <c r="F189" s="28">
        <v>1110</v>
      </c>
      <c r="G189" s="29">
        <v>66.8</v>
      </c>
      <c r="H189" s="22"/>
      <c r="I189" s="22"/>
      <c r="J189" s="22"/>
      <c r="K189" s="22"/>
      <c r="L189" s="22"/>
    </row>
    <row r="190" spans="3:12" x14ac:dyDescent="0.25">
      <c r="C190" s="25">
        <v>12</v>
      </c>
      <c r="D190" s="9" t="str">
        <f>IF(C190=11,"Gelondonggede",IF(C190=12,"Brondong", IF(C190=13,"Padikde Talango",IF(C190=14,"Gelondonggede", IF(C190=15,"Brondong")))))</f>
        <v>Brondong</v>
      </c>
      <c r="E190" s="29">
        <v>7.11</v>
      </c>
      <c r="F190" s="28">
        <v>1110</v>
      </c>
      <c r="G190" s="29">
        <v>62.86</v>
      </c>
      <c r="H190" s="22"/>
      <c r="I190" s="22"/>
      <c r="J190" s="22"/>
      <c r="K190" s="22"/>
      <c r="L190" s="22"/>
    </row>
    <row r="191" spans="3:12" x14ac:dyDescent="0.25">
      <c r="C191" s="25">
        <v>12</v>
      </c>
      <c r="D191" s="9" t="str">
        <f>IF(C191=11,"Gelondonggede",IF(C191=12,"Brondong", IF(C191=13,"Padikde Talango",IF(C191=14,"Gelondonggede", IF(C191=15,"Brondong")))))</f>
        <v>Brondong</v>
      </c>
      <c r="E191" s="29">
        <v>6.71</v>
      </c>
      <c r="F191" s="28">
        <v>1110</v>
      </c>
      <c r="G191" s="29">
        <v>65.67</v>
      </c>
      <c r="H191" s="22"/>
      <c r="I191" s="22"/>
      <c r="J191" s="22"/>
      <c r="K191" s="22"/>
      <c r="L191" s="22"/>
    </row>
    <row r="192" spans="3:12" x14ac:dyDescent="0.25">
      <c r="C192" s="25">
        <v>12</v>
      </c>
      <c r="D192" s="9" t="str">
        <f>IF(C192=11,"Gelondonggede",IF(C192=12,"Brondong", IF(C192=13,"Padikde Talango",IF(C192=14,"Gelondonggede", IF(C192=15,"Brondong")))))</f>
        <v>Brondong</v>
      </c>
      <c r="E192" s="29">
        <v>8.4600000000000009</v>
      </c>
      <c r="F192" s="28">
        <v>1110</v>
      </c>
      <c r="G192" s="29">
        <v>65.75</v>
      </c>
      <c r="H192" s="22"/>
      <c r="I192" s="22"/>
      <c r="J192" s="22"/>
      <c r="K192" s="22"/>
      <c r="L192" s="22"/>
    </row>
    <row r="193" spans="3:12" x14ac:dyDescent="0.25">
      <c r="C193" s="25">
        <v>12</v>
      </c>
      <c r="D193" s="9" t="str">
        <f>IF(C193=11,"Gelondonggede",IF(C193=12,"Brondong", IF(C193=13,"Padikde Talango",IF(C193=14,"Gelondonggede", IF(C193=15,"Brondong")))))</f>
        <v>Brondong</v>
      </c>
      <c r="E193" s="29">
        <v>7.32</v>
      </c>
      <c r="F193" s="28">
        <v>1110</v>
      </c>
      <c r="G193" s="29">
        <v>65.11</v>
      </c>
      <c r="H193" s="22"/>
      <c r="I193" s="22"/>
      <c r="J193" s="22"/>
      <c r="K193" s="22"/>
      <c r="L193" s="22"/>
    </row>
    <row r="194" spans="3:12" x14ac:dyDescent="0.25">
      <c r="C194" s="25">
        <v>12</v>
      </c>
      <c r="D194" s="9" t="str">
        <f>IF(C194=11,"Gelondonggede",IF(C194=12,"Brondong", IF(C194=13,"Padikde Talango",IF(C194=14,"Gelondonggede", IF(C194=15,"Brondong")))))</f>
        <v>Brondong</v>
      </c>
      <c r="E194" s="29">
        <v>6.88</v>
      </c>
      <c r="F194" s="28">
        <v>1110</v>
      </c>
      <c r="G194" s="29">
        <v>62.1</v>
      </c>
      <c r="H194" s="22"/>
      <c r="I194" s="22"/>
      <c r="J194" s="22"/>
      <c r="K194" s="22"/>
      <c r="L194" s="22"/>
    </row>
    <row r="195" spans="3:12" x14ac:dyDescent="0.25">
      <c r="C195" s="25">
        <v>12</v>
      </c>
      <c r="D195" s="9" t="str">
        <f>IF(C195=11,"Gelondonggede",IF(C195=12,"Brondong", IF(C195=13,"Padikde Talango",IF(C195=14,"Gelondonggede", IF(C195=15,"Brondong")))))</f>
        <v>Brondong</v>
      </c>
      <c r="E195" s="29">
        <v>7.41</v>
      </c>
      <c r="F195" s="28">
        <v>1110</v>
      </c>
      <c r="G195" s="29">
        <v>62.93</v>
      </c>
      <c r="H195" s="22"/>
      <c r="I195" s="22"/>
      <c r="J195" s="22"/>
      <c r="K195" s="22"/>
      <c r="L195" s="22"/>
    </row>
    <row r="196" spans="3:12" x14ac:dyDescent="0.25">
      <c r="C196" s="25">
        <v>12</v>
      </c>
      <c r="D196" s="9" t="str">
        <f>IF(C196=11,"Gelondonggede",IF(C196=12,"Brondong", IF(C196=13,"Padikde Talango",IF(C196=14,"Gelondonggede", IF(C196=15,"Brondong")))))</f>
        <v>Brondong</v>
      </c>
      <c r="E196" s="29">
        <v>8.3800000000000008</v>
      </c>
      <c r="F196" s="28">
        <v>1110</v>
      </c>
      <c r="G196" s="29">
        <v>65.599999999999994</v>
      </c>
      <c r="H196" s="22"/>
      <c r="I196" s="22"/>
      <c r="J196" s="22"/>
      <c r="K196" s="22"/>
      <c r="L196" s="22"/>
    </row>
    <row r="197" spans="3:12" x14ac:dyDescent="0.25">
      <c r="C197" s="25">
        <v>12</v>
      </c>
      <c r="D197" s="9" t="str">
        <f>IF(C197=11,"Gelondonggede",IF(C197=12,"Brondong", IF(C197=13,"Padikde Talango",IF(C197=14,"Gelondonggede", IF(C197=15,"Brondong")))))</f>
        <v>Brondong</v>
      </c>
      <c r="E197" s="29">
        <v>6.35</v>
      </c>
      <c r="F197" s="28">
        <v>1110</v>
      </c>
      <c r="G197" s="29">
        <v>60.75</v>
      </c>
      <c r="H197" s="22"/>
      <c r="I197" s="22"/>
      <c r="J197" s="22"/>
      <c r="K197" s="22"/>
      <c r="L197" s="22"/>
    </row>
    <row r="198" spans="3:12" x14ac:dyDescent="0.25">
      <c r="C198" s="25">
        <v>12</v>
      </c>
      <c r="D198" s="9" t="str">
        <f>IF(C198=11,"Gelondonggede",IF(C198=12,"Brondong", IF(C198=13,"Padikde Talango",IF(C198=14,"Gelondonggede", IF(C198=15,"Brondong")))))</f>
        <v>Brondong</v>
      </c>
      <c r="E198" s="29">
        <v>8.0299999999999994</v>
      </c>
      <c r="F198" s="28">
        <v>1110</v>
      </c>
      <c r="G198" s="29">
        <v>64.52</v>
      </c>
      <c r="H198" s="22"/>
      <c r="I198" s="22"/>
      <c r="J198" s="22"/>
      <c r="K198" s="22"/>
      <c r="L198" s="22"/>
    </row>
    <row r="199" spans="3:12" x14ac:dyDescent="0.25">
      <c r="C199" s="25">
        <v>12</v>
      </c>
      <c r="D199" s="9" t="str">
        <f>IF(C199=11,"Gelondonggede",IF(C199=12,"Brondong", IF(C199=13,"Padikde Talango",IF(C199=14,"Gelondonggede", IF(C199=15,"Brondong")))))</f>
        <v>Brondong</v>
      </c>
      <c r="E199" s="29">
        <v>6.83</v>
      </c>
      <c r="F199" s="28">
        <v>1110</v>
      </c>
      <c r="G199" s="29">
        <v>64.489999999999995</v>
      </c>
      <c r="H199" s="22"/>
      <c r="I199" s="22"/>
      <c r="J199" s="22"/>
      <c r="K199" s="22"/>
      <c r="L199" s="22"/>
    </row>
    <row r="200" spans="3:12" x14ac:dyDescent="0.25">
      <c r="C200" s="25">
        <v>12</v>
      </c>
      <c r="D200" s="9" t="str">
        <f>IF(C200=11,"Gelondonggede",IF(C200=12,"Brondong", IF(C200=13,"Padikde Talango",IF(C200=14,"Gelondonggede", IF(C200=15,"Brondong")))))</f>
        <v>Brondong</v>
      </c>
      <c r="E200" s="29">
        <v>5.97</v>
      </c>
      <c r="F200" s="28">
        <v>1110</v>
      </c>
      <c r="G200" s="29">
        <v>62.05</v>
      </c>
      <c r="H200" s="22"/>
      <c r="I200" s="22"/>
      <c r="J200" s="22"/>
      <c r="K200" s="22"/>
      <c r="L200" s="22"/>
    </row>
    <row r="201" spans="3:12" x14ac:dyDescent="0.25">
      <c r="C201" s="25">
        <v>12</v>
      </c>
      <c r="D201" s="9" t="str">
        <f>IF(C201=11,"Gelondonggede",IF(C201=12,"Brondong", IF(C201=13,"Padikde Talango",IF(C201=14,"Gelondonggede", IF(C201=15,"Brondong")))))</f>
        <v>Brondong</v>
      </c>
      <c r="E201" s="29">
        <v>9.06</v>
      </c>
      <c r="F201" s="28">
        <v>1110</v>
      </c>
      <c r="G201" s="29">
        <v>66.64</v>
      </c>
      <c r="H201" s="22"/>
      <c r="I201" s="22"/>
      <c r="J201" s="22"/>
      <c r="K201" s="22"/>
      <c r="L201" s="22"/>
    </row>
    <row r="202" spans="3:12" x14ac:dyDescent="0.25">
      <c r="C202" s="25">
        <v>12</v>
      </c>
      <c r="D202" s="9" t="str">
        <f>IF(C202=11,"Gelondonggede",IF(C202=12,"Brondong", IF(C202=13,"Padikde Talango",IF(C202=14,"Gelondonggede", IF(C202=15,"Brondong")))))</f>
        <v>Brondong</v>
      </c>
      <c r="E202" s="29">
        <v>6.23</v>
      </c>
      <c r="F202" s="28">
        <v>1110</v>
      </c>
      <c r="G202" s="29">
        <v>62.55</v>
      </c>
      <c r="H202" s="22"/>
      <c r="I202" s="22"/>
      <c r="J202" s="22"/>
      <c r="K202" s="22"/>
      <c r="L202" s="22"/>
    </row>
    <row r="203" spans="3:12" x14ac:dyDescent="0.25">
      <c r="C203" s="25">
        <v>12</v>
      </c>
      <c r="D203" s="9" t="str">
        <f>IF(C203=11,"Gelondonggede",IF(C203=12,"Brondong", IF(C203=13,"Padikde Talango",IF(C203=14,"Gelondonggede", IF(C203=15,"Brondong")))))</f>
        <v>Brondong</v>
      </c>
      <c r="E203" s="29">
        <v>6.64</v>
      </c>
      <c r="F203" s="28">
        <v>1110</v>
      </c>
      <c r="G203" s="29">
        <v>62.09</v>
      </c>
      <c r="H203" s="22"/>
      <c r="I203" s="22"/>
      <c r="J203" s="22"/>
      <c r="K203" s="22"/>
      <c r="L203" s="22"/>
    </row>
    <row r="204" spans="3:12" x14ac:dyDescent="0.25">
      <c r="C204" s="25">
        <v>12</v>
      </c>
      <c r="D204" s="9" t="str">
        <f>IF(C204=11,"Gelondonggede",IF(C204=12,"Brondong", IF(C204=13,"Padikde Talango",IF(C204=14,"Gelondonggede", IF(C204=15,"Brondong")))))</f>
        <v>Brondong</v>
      </c>
      <c r="E204" s="29">
        <v>6.68</v>
      </c>
      <c r="F204" s="28">
        <v>1110</v>
      </c>
      <c r="G204" s="29">
        <v>62.44</v>
      </c>
      <c r="H204" s="22"/>
      <c r="I204" s="22"/>
      <c r="J204" s="22"/>
      <c r="K204" s="22"/>
      <c r="L204" s="22"/>
    </row>
    <row r="205" spans="3:12" x14ac:dyDescent="0.25">
      <c r="C205" s="25">
        <v>12</v>
      </c>
      <c r="D205" s="9" t="str">
        <f>IF(C205=11,"Gelondonggede",IF(C205=12,"Brondong", IF(C205=13,"Padikde Talango",IF(C205=14,"Gelondonggede", IF(C205=15,"Brondong")))))</f>
        <v>Brondong</v>
      </c>
      <c r="E205" s="29">
        <v>7.34</v>
      </c>
      <c r="F205" s="28">
        <v>1110</v>
      </c>
      <c r="G205" s="29">
        <v>62.61</v>
      </c>
      <c r="H205" s="22"/>
      <c r="I205" s="22"/>
      <c r="J205" s="22"/>
      <c r="K205" s="22"/>
      <c r="L205" s="22"/>
    </row>
    <row r="206" spans="3:12" x14ac:dyDescent="0.25">
      <c r="C206" s="25">
        <v>12</v>
      </c>
      <c r="D206" s="9" t="str">
        <f>IF(C206=11,"Gelondonggede",IF(C206=12,"Brondong", IF(C206=13,"Padikde Talango",IF(C206=14,"Gelondonggede", IF(C206=15,"Brondong")))))</f>
        <v>Brondong</v>
      </c>
      <c r="E206" s="29">
        <v>7.62</v>
      </c>
      <c r="F206" s="28">
        <v>1110</v>
      </c>
      <c r="G206" s="29">
        <v>62.74</v>
      </c>
      <c r="H206" s="22"/>
      <c r="I206" s="22"/>
      <c r="J206" s="22"/>
      <c r="K206" s="22"/>
      <c r="L206" s="22"/>
    </row>
    <row r="207" spans="3:12" x14ac:dyDescent="0.25">
      <c r="C207" s="25">
        <v>12</v>
      </c>
      <c r="D207" s="9" t="str">
        <f>IF(C207=11,"Gelondonggede",IF(C207=12,"Brondong", IF(C207=13,"Padikde Talango",IF(C207=14,"Gelondonggede", IF(C207=15,"Brondong")))))</f>
        <v>Brondong</v>
      </c>
      <c r="E207" s="29">
        <v>7.05</v>
      </c>
      <c r="F207" s="28">
        <v>1110</v>
      </c>
      <c r="G207" s="29">
        <v>63.87</v>
      </c>
      <c r="H207" s="22"/>
      <c r="I207" s="22"/>
      <c r="J207" s="22"/>
      <c r="K207" s="22"/>
      <c r="L207" s="22"/>
    </row>
    <row r="208" spans="3:12" x14ac:dyDescent="0.25">
      <c r="C208" s="25">
        <v>12</v>
      </c>
      <c r="D208" s="9" t="str">
        <f>IF(C208=11,"Gelondonggede",IF(C208=12,"Brondong", IF(C208=13,"Padikde Talango",IF(C208=14,"Gelondonggede", IF(C208=15,"Brondong")))))</f>
        <v>Brondong</v>
      </c>
      <c r="E208" s="29">
        <v>7.43</v>
      </c>
      <c r="F208" s="28">
        <v>1110</v>
      </c>
      <c r="G208" s="29">
        <v>62.83</v>
      </c>
      <c r="H208" s="22"/>
      <c r="I208" s="22"/>
      <c r="J208" s="22"/>
      <c r="K208" s="22"/>
      <c r="L208" s="22"/>
    </row>
    <row r="209" spans="3:12" x14ac:dyDescent="0.25">
      <c r="C209" s="25">
        <v>12</v>
      </c>
      <c r="D209" s="9" t="str">
        <f>IF(C209=11,"Gelondonggede",IF(C209=12,"Brondong", IF(C209=13,"Padikde Talango",IF(C209=14,"Gelondonggede", IF(C209=15,"Brondong")))))</f>
        <v>Brondong</v>
      </c>
      <c r="E209" s="29">
        <v>6.22</v>
      </c>
      <c r="F209" s="28">
        <v>1110</v>
      </c>
      <c r="G209" s="29">
        <v>63.16</v>
      </c>
      <c r="H209" s="22"/>
      <c r="I209" s="22"/>
      <c r="J209" s="22"/>
      <c r="K209" s="22"/>
      <c r="L209" s="22"/>
    </row>
    <row r="210" spans="3:12" x14ac:dyDescent="0.25">
      <c r="C210" s="25">
        <v>12</v>
      </c>
      <c r="D210" s="9" t="str">
        <f>IF(C210=11,"Gelondonggede",IF(C210=12,"Brondong", IF(C210=13,"Padikde Talango",IF(C210=14,"Gelondonggede", IF(C210=15,"Brondong")))))</f>
        <v>Brondong</v>
      </c>
      <c r="E210" s="29">
        <v>8.16</v>
      </c>
      <c r="F210" s="28">
        <v>1110</v>
      </c>
      <c r="G210" s="29">
        <v>66.73</v>
      </c>
      <c r="H210" s="22"/>
      <c r="I210" s="22"/>
      <c r="J210" s="22"/>
      <c r="K210" s="22"/>
      <c r="L210" s="22"/>
    </row>
    <row r="211" spans="3:12" x14ac:dyDescent="0.25">
      <c r="C211" s="25">
        <v>12</v>
      </c>
      <c r="D211" s="9" t="str">
        <f>IF(C211=11,"Gelondonggede",IF(C211=12,"Brondong", IF(C211=13,"Padikde Talango",IF(C211=14,"Gelondonggede", IF(C211=15,"Brondong")))))</f>
        <v>Brondong</v>
      </c>
      <c r="E211" s="29">
        <v>7.19</v>
      </c>
      <c r="F211" s="28">
        <v>1110</v>
      </c>
      <c r="G211" s="29">
        <v>65.11</v>
      </c>
      <c r="H211" s="22"/>
      <c r="I211" s="22"/>
      <c r="J211" s="22"/>
      <c r="K211" s="22"/>
      <c r="L211" s="22"/>
    </row>
    <row r="212" spans="3:12" x14ac:dyDescent="0.25">
      <c r="C212" s="25">
        <v>12</v>
      </c>
      <c r="D212" s="9" t="str">
        <f>IF(C212=11,"Gelondonggede",IF(C212=12,"Brondong", IF(C212=13,"Padikde Talango",IF(C212=14,"Gelondonggede", IF(C212=15,"Brondong")))))</f>
        <v>Brondong</v>
      </c>
      <c r="E212" s="29">
        <v>6.78</v>
      </c>
      <c r="F212" s="28">
        <v>1110</v>
      </c>
      <c r="G212" s="29">
        <v>62.52</v>
      </c>
      <c r="H212" s="22"/>
      <c r="I212" s="22"/>
      <c r="J212" s="22"/>
      <c r="K212" s="22"/>
      <c r="L212" s="22"/>
    </row>
    <row r="213" spans="3:12" x14ac:dyDescent="0.25">
      <c r="C213" s="25">
        <v>12</v>
      </c>
      <c r="D213" s="9" t="str">
        <f>IF(C213=11,"Gelondonggede",IF(C213=12,"Brondong", IF(C213=13,"Padikde Talango",IF(C213=14,"Gelondonggede", IF(C213=15,"Brondong")))))</f>
        <v>Brondong</v>
      </c>
      <c r="E213" s="29">
        <v>7.11</v>
      </c>
      <c r="F213" s="28">
        <v>1110</v>
      </c>
      <c r="G213" s="29">
        <v>63.75</v>
      </c>
      <c r="H213" s="22"/>
      <c r="I213" s="22"/>
      <c r="J213" s="22"/>
      <c r="K213" s="22"/>
      <c r="L213" s="22"/>
    </row>
    <row r="214" spans="3:12" x14ac:dyDescent="0.25">
      <c r="C214" s="25">
        <v>12</v>
      </c>
      <c r="D214" s="9" t="str">
        <f>IF(C214=11,"Gelondonggede",IF(C214=12,"Brondong", IF(C214=13,"Padikde Talango",IF(C214=14,"Gelondonggede", IF(C214=15,"Brondong")))))</f>
        <v>Brondong</v>
      </c>
      <c r="E214" s="29">
        <v>6.98</v>
      </c>
      <c r="F214" s="28">
        <v>1110</v>
      </c>
      <c r="G214" s="29">
        <v>62.2</v>
      </c>
      <c r="H214" s="22"/>
      <c r="I214" s="22"/>
      <c r="J214" s="22"/>
      <c r="K214" s="22"/>
      <c r="L214" s="22"/>
    </row>
    <row r="215" spans="3:12" x14ac:dyDescent="0.25">
      <c r="C215" s="25">
        <v>12</v>
      </c>
      <c r="D215" s="9" t="str">
        <f>IF(C215=11,"Gelondonggede",IF(C215=12,"Brondong", IF(C215=13,"Padikde Talango",IF(C215=14,"Gelondonggede", IF(C215=15,"Brondong")))))</f>
        <v>Brondong</v>
      </c>
      <c r="E215" s="29">
        <v>6.81</v>
      </c>
      <c r="F215" s="28">
        <v>1110</v>
      </c>
      <c r="G215" s="29">
        <v>65.650000000000006</v>
      </c>
      <c r="H215" s="22"/>
      <c r="I215" s="22"/>
      <c r="J215" s="22"/>
      <c r="K215" s="22"/>
      <c r="L215" s="22"/>
    </row>
    <row r="216" spans="3:12" x14ac:dyDescent="0.25">
      <c r="C216" s="25">
        <v>12</v>
      </c>
      <c r="D216" s="9" t="str">
        <f>IF(C216=11,"Gelondonggede",IF(C216=12,"Brondong", IF(C216=13,"Padikde Talango",IF(C216=14,"Gelondonggede", IF(C216=15,"Brondong")))))</f>
        <v>Brondong</v>
      </c>
      <c r="E216" s="29">
        <v>5.68</v>
      </c>
      <c r="F216" s="28">
        <v>1110</v>
      </c>
      <c r="G216" s="29">
        <v>59.05</v>
      </c>
      <c r="H216" s="22"/>
      <c r="I216" s="22"/>
      <c r="J216" s="22"/>
      <c r="K216" s="22"/>
      <c r="L216" s="22"/>
    </row>
    <row r="217" spans="3:12" x14ac:dyDescent="0.25">
      <c r="C217" s="25">
        <v>12</v>
      </c>
      <c r="D217" s="9" t="str">
        <f>IF(C217=11,"Gelondonggede",IF(C217=12,"Brondong", IF(C217=13,"Padikde Talango",IF(C217=14,"Gelondonggede", IF(C217=15,"Brondong")))))</f>
        <v>Brondong</v>
      </c>
      <c r="E217" s="29">
        <v>8.07</v>
      </c>
      <c r="F217" s="28">
        <v>1110</v>
      </c>
      <c r="G217" s="29">
        <v>66.39</v>
      </c>
      <c r="H217" s="22"/>
      <c r="I217" s="22"/>
      <c r="J217" s="22"/>
      <c r="K217" s="22"/>
      <c r="L217" s="22"/>
    </row>
    <row r="218" spans="3:12" x14ac:dyDescent="0.25">
      <c r="C218" s="25">
        <v>12</v>
      </c>
      <c r="D218" s="9" t="str">
        <f>IF(C218=11,"Gelondonggede",IF(C218=12,"Brondong", IF(C218=13,"Padikde Talango",IF(C218=14,"Gelondonggede", IF(C218=15,"Brondong")))))</f>
        <v>Brondong</v>
      </c>
      <c r="E218" s="29">
        <v>6.93</v>
      </c>
      <c r="F218" s="28">
        <v>1110</v>
      </c>
      <c r="G218" s="29">
        <v>61.93</v>
      </c>
      <c r="H218" s="22"/>
      <c r="I218" s="22"/>
      <c r="J218" s="22"/>
      <c r="K218" s="22"/>
      <c r="L218" s="22"/>
    </row>
    <row r="219" spans="3:12" x14ac:dyDescent="0.25">
      <c r="C219" s="25">
        <v>12</v>
      </c>
      <c r="D219" s="9" t="str">
        <f>IF(C219=11,"Gelondonggede",IF(C219=12,"Brondong", IF(C219=13,"Padikde Talango",IF(C219=14,"Gelondonggede", IF(C219=15,"Brondong")))))</f>
        <v>Brondong</v>
      </c>
      <c r="E219" s="29">
        <v>5.47</v>
      </c>
      <c r="F219" s="28">
        <v>1110</v>
      </c>
      <c r="G219" s="29">
        <v>59.34</v>
      </c>
      <c r="H219" s="22"/>
      <c r="I219" s="22"/>
      <c r="J219" s="22"/>
      <c r="K219" s="22"/>
      <c r="L219" s="22"/>
    </row>
    <row r="220" spans="3:12" x14ac:dyDescent="0.25">
      <c r="C220" s="25">
        <v>12</v>
      </c>
      <c r="D220" s="9" t="str">
        <f>IF(C220=11,"Gelondonggede",IF(C220=12,"Brondong", IF(C220=13,"Padikde Talango",IF(C220=14,"Gelondonggede", IF(C220=15,"Brondong")))))</f>
        <v>Brondong</v>
      </c>
      <c r="E220" s="29">
        <v>5.85</v>
      </c>
      <c r="F220" s="28">
        <v>1110</v>
      </c>
      <c r="G220" s="29">
        <v>60.13</v>
      </c>
      <c r="H220" s="22"/>
      <c r="I220" s="22"/>
      <c r="J220" s="22"/>
      <c r="K220" s="22"/>
      <c r="L220" s="22"/>
    </row>
    <row r="221" spans="3:12" x14ac:dyDescent="0.25">
      <c r="C221" s="25">
        <v>12</v>
      </c>
      <c r="D221" s="9" t="str">
        <f>IF(C221=11,"Gelondonggede",IF(C221=12,"Brondong", IF(C221=13,"Padikde Talango",IF(C221=14,"Gelondonggede", IF(C221=15,"Brondong")))))</f>
        <v>Brondong</v>
      </c>
      <c r="E221" s="29">
        <v>5.56</v>
      </c>
      <c r="F221" s="28">
        <v>1110</v>
      </c>
      <c r="G221" s="29">
        <v>59.93</v>
      </c>
      <c r="H221" s="22"/>
      <c r="I221" s="22"/>
      <c r="J221" s="22"/>
      <c r="K221" s="22"/>
      <c r="L221" s="22"/>
    </row>
    <row r="222" spans="3:12" x14ac:dyDescent="0.25">
      <c r="C222" s="25">
        <v>12</v>
      </c>
      <c r="D222" s="9" t="str">
        <f>IF(C222=11,"Gelondonggede",IF(C222=12,"Brondong", IF(C222=13,"Padikde Talango",IF(C222=14,"Gelondonggede", IF(C222=15,"Brondong")))))</f>
        <v>Brondong</v>
      </c>
      <c r="E222" s="29">
        <v>4.49</v>
      </c>
      <c r="F222" s="28">
        <v>1110</v>
      </c>
      <c r="G222" s="29">
        <v>61.41</v>
      </c>
      <c r="H222" s="22"/>
      <c r="I222" s="22"/>
      <c r="J222" s="22"/>
      <c r="K222" s="22"/>
      <c r="L222" s="22"/>
    </row>
    <row r="223" spans="3:12" x14ac:dyDescent="0.25">
      <c r="C223" s="25">
        <v>12</v>
      </c>
      <c r="D223" s="9" t="str">
        <f>IF(C223=11,"Gelondonggede",IF(C223=12,"Brondong", IF(C223=13,"Padikde Talango",IF(C223=14,"Gelondonggede", IF(C223=15,"Brondong")))))</f>
        <v>Brondong</v>
      </c>
      <c r="E223" s="29">
        <v>5.26</v>
      </c>
      <c r="F223" s="28">
        <v>1110</v>
      </c>
      <c r="G223" s="29">
        <v>58.25</v>
      </c>
      <c r="H223" s="22"/>
      <c r="I223" s="22"/>
      <c r="J223" s="22"/>
      <c r="K223" s="22"/>
      <c r="L223" s="22"/>
    </row>
    <row r="224" spans="3:12" x14ac:dyDescent="0.25">
      <c r="C224" s="25">
        <v>12</v>
      </c>
      <c r="D224" s="9" t="str">
        <f>IF(C224=11,"Gelondonggede",IF(C224=12,"Brondong", IF(C224=13,"Padikde Talango",IF(C224=14,"Gelondonggede", IF(C224=15,"Brondong")))))</f>
        <v>Brondong</v>
      </c>
      <c r="E224" s="29">
        <v>6.64</v>
      </c>
      <c r="F224" s="28">
        <v>1110</v>
      </c>
      <c r="G224" s="29">
        <v>62.46</v>
      </c>
      <c r="H224" s="22"/>
      <c r="I224" s="22"/>
      <c r="J224" s="22"/>
      <c r="K224" s="22"/>
      <c r="L224" s="22"/>
    </row>
    <row r="225" spans="3:12" x14ac:dyDescent="0.25">
      <c r="C225" s="25">
        <v>12</v>
      </c>
      <c r="D225" s="9" t="str">
        <f>IF(C225=11,"Gelondonggede",IF(C225=12,"Brondong", IF(C225=13,"Padikde Talango",IF(C225=14,"Gelondonggede", IF(C225=15,"Brondong")))))</f>
        <v>Brondong</v>
      </c>
      <c r="E225" s="29">
        <v>5.31</v>
      </c>
      <c r="F225" s="28">
        <v>1110</v>
      </c>
      <c r="G225" s="29">
        <v>59.16</v>
      </c>
      <c r="H225" s="22"/>
      <c r="I225" s="22"/>
      <c r="J225" s="22"/>
      <c r="K225" s="22"/>
      <c r="L225" s="22"/>
    </row>
    <row r="226" spans="3:12" x14ac:dyDescent="0.25">
      <c r="C226" s="25">
        <v>12</v>
      </c>
      <c r="D226" s="9" t="str">
        <f>IF(C226=11,"Gelondonggede",IF(C226=12,"Brondong", IF(C226=13,"Padikde Talango",IF(C226=14,"Gelondonggede", IF(C226=15,"Brondong")))))</f>
        <v>Brondong</v>
      </c>
      <c r="E226" s="29">
        <v>5.81</v>
      </c>
      <c r="F226" s="28">
        <v>1110</v>
      </c>
      <c r="G226" s="29">
        <v>59.77</v>
      </c>
      <c r="H226" s="22"/>
      <c r="I226" s="22"/>
      <c r="J226" s="22"/>
      <c r="K226" s="22"/>
      <c r="L226" s="22"/>
    </row>
    <row r="227" spans="3:12" x14ac:dyDescent="0.25">
      <c r="C227" s="25">
        <v>12</v>
      </c>
      <c r="D227" s="9" t="str">
        <f>IF(C227=11,"Gelondonggede",IF(C227=12,"Brondong", IF(C227=13,"Padikde Talango",IF(C227=14,"Gelondonggede", IF(C227=15,"Brondong")))))</f>
        <v>Brondong</v>
      </c>
      <c r="E227" s="29">
        <v>4.3099999999999996</v>
      </c>
      <c r="F227" s="28">
        <v>1110</v>
      </c>
      <c r="G227" s="29">
        <v>55.09</v>
      </c>
      <c r="H227" s="22"/>
      <c r="I227" s="22"/>
      <c r="J227" s="22"/>
      <c r="K227" s="22"/>
      <c r="L227" s="22"/>
    </row>
    <row r="228" spans="3:12" x14ac:dyDescent="0.25">
      <c r="C228" s="25">
        <v>12</v>
      </c>
      <c r="D228" s="9" t="str">
        <f>IF(C228=11,"Gelondonggede",IF(C228=12,"Brondong", IF(C228=13,"Padikde Talango",IF(C228=14,"Gelondonggede", IF(C228=15,"Brondong")))))</f>
        <v>Brondong</v>
      </c>
      <c r="E228" s="29">
        <v>4.79</v>
      </c>
      <c r="F228" s="28">
        <v>1110</v>
      </c>
      <c r="G228" s="29">
        <v>53.54</v>
      </c>
      <c r="H228" s="22"/>
      <c r="I228" s="22"/>
      <c r="J228" s="22"/>
      <c r="K228" s="22"/>
      <c r="L228" s="22"/>
    </row>
    <row r="229" spans="3:12" x14ac:dyDescent="0.25">
      <c r="C229" s="25">
        <v>12</v>
      </c>
      <c r="D229" s="9" t="str">
        <f>IF(C229=11,"Gelondonggede",IF(C229=12,"Brondong", IF(C229=13,"Padikde Talango",IF(C229=14,"Gelondonggede", IF(C229=15,"Brondong")))))</f>
        <v>Brondong</v>
      </c>
      <c r="E229" s="29">
        <v>5.93</v>
      </c>
      <c r="F229" s="28">
        <v>1110</v>
      </c>
      <c r="G229" s="29">
        <v>58.51</v>
      </c>
      <c r="H229" s="22"/>
      <c r="I229" s="22"/>
      <c r="J229" s="22"/>
      <c r="K229" s="22"/>
      <c r="L229" s="22"/>
    </row>
    <row r="230" spans="3:12" x14ac:dyDescent="0.25">
      <c r="C230" s="25">
        <v>12</v>
      </c>
      <c r="D230" s="9" t="str">
        <f>IF(C230=11,"Gelondonggede",IF(C230=12,"Brondong", IF(C230=13,"Padikde Talango",IF(C230=14,"Gelondonggede", IF(C230=15,"Brondong")))))</f>
        <v>Brondong</v>
      </c>
      <c r="E230" s="29">
        <v>5.87</v>
      </c>
      <c r="F230" s="28">
        <v>1110</v>
      </c>
      <c r="G230" s="29">
        <v>57.43</v>
      </c>
      <c r="H230" s="22"/>
      <c r="I230" s="22"/>
      <c r="J230" s="22"/>
      <c r="K230" s="22"/>
      <c r="L230" s="22"/>
    </row>
    <row r="231" spans="3:12" x14ac:dyDescent="0.25">
      <c r="C231" s="25">
        <v>12</v>
      </c>
      <c r="D231" s="9" t="str">
        <f>IF(C231=11,"Gelondonggede",IF(C231=12,"Brondong", IF(C231=13,"Padikde Talango",IF(C231=14,"Gelondonggede", IF(C231=15,"Brondong")))))</f>
        <v>Brondong</v>
      </c>
      <c r="E231" s="29">
        <v>5.27</v>
      </c>
      <c r="F231" s="28">
        <v>1110</v>
      </c>
      <c r="G231" s="29">
        <v>58.07</v>
      </c>
      <c r="H231" s="22"/>
      <c r="I231" s="22"/>
      <c r="J231" s="22"/>
      <c r="K231" s="22"/>
      <c r="L231" s="22"/>
    </row>
    <row r="232" spans="3:12" x14ac:dyDescent="0.25">
      <c r="C232" s="25">
        <v>12</v>
      </c>
      <c r="D232" s="9" t="str">
        <f>IF(C232=11,"Gelondonggede",IF(C232=12,"Brondong", IF(C232=13,"Padikde Talango",IF(C232=14,"Gelondonggede", IF(C232=15,"Brondong")))))</f>
        <v>Brondong</v>
      </c>
      <c r="E232" s="29">
        <v>5.0999999999999996</v>
      </c>
      <c r="F232" s="28">
        <v>1110</v>
      </c>
      <c r="G232" s="29">
        <v>53.03</v>
      </c>
      <c r="H232" s="22"/>
      <c r="I232" s="22"/>
      <c r="J232" s="22"/>
      <c r="K232" s="22"/>
      <c r="L232" s="22"/>
    </row>
    <row r="233" spans="3:12" x14ac:dyDescent="0.25">
      <c r="C233" s="25">
        <v>12</v>
      </c>
      <c r="D233" s="9" t="str">
        <f>IF(C233=11,"Gelondonggede",IF(C233=12,"Brondong", IF(C233=13,"Padikde Talango",IF(C233=14,"Gelondonggede", IF(C233=15,"Brondong")))))</f>
        <v>Brondong</v>
      </c>
      <c r="E233" s="29">
        <v>6.19</v>
      </c>
      <c r="F233" s="28">
        <v>1110</v>
      </c>
      <c r="G233" s="29">
        <v>60.83</v>
      </c>
      <c r="H233" s="22"/>
      <c r="I233" s="22"/>
      <c r="J233" s="22"/>
      <c r="K233" s="22"/>
      <c r="L233" s="22"/>
    </row>
    <row r="234" spans="3:12" x14ac:dyDescent="0.25">
      <c r="C234" s="25">
        <v>12</v>
      </c>
      <c r="D234" s="9" t="str">
        <f>IF(C234=11,"Gelondonggede",IF(C234=12,"Brondong", IF(C234=13,"Padikde Talango",IF(C234=14,"Gelondonggede", IF(C234=15,"Brondong")))))</f>
        <v>Brondong</v>
      </c>
      <c r="E234" s="29">
        <v>5.0599999999999996</v>
      </c>
      <c r="F234" s="28">
        <v>1110</v>
      </c>
      <c r="G234" s="29">
        <v>57.93</v>
      </c>
      <c r="H234" s="22"/>
      <c r="I234" s="22"/>
      <c r="J234" s="22"/>
      <c r="K234" s="22"/>
      <c r="L234" s="22"/>
    </row>
    <row r="235" spans="3:12" x14ac:dyDescent="0.25">
      <c r="C235" s="25">
        <v>12</v>
      </c>
      <c r="D235" s="9" t="str">
        <f>IF(C235=11,"Gelondonggede",IF(C235=12,"Brondong", IF(C235=13,"Padikde Talango",IF(C235=14,"Gelondonggede", IF(C235=15,"Brondong")))))</f>
        <v>Brondong</v>
      </c>
      <c r="E235" s="29">
        <v>4.41</v>
      </c>
      <c r="F235" s="28">
        <v>1110</v>
      </c>
      <c r="G235" s="29">
        <v>57.93</v>
      </c>
      <c r="H235" s="22"/>
      <c r="I235" s="22"/>
      <c r="J235" s="22"/>
      <c r="K235" s="22"/>
      <c r="L235" s="22"/>
    </row>
    <row r="236" spans="3:12" x14ac:dyDescent="0.25">
      <c r="C236" s="25">
        <v>12</v>
      </c>
      <c r="D236" s="9" t="str">
        <f>IF(C236=11,"Gelondonggede",IF(C236=12,"Brondong", IF(C236=13,"Padikde Talango",IF(C236=14,"Gelondonggede", IF(C236=15,"Brondong")))))</f>
        <v>Brondong</v>
      </c>
      <c r="E236" s="29">
        <v>4.4000000000000004</v>
      </c>
      <c r="F236" s="28">
        <v>1110</v>
      </c>
      <c r="G236" s="29">
        <v>55.02</v>
      </c>
      <c r="H236" s="22"/>
      <c r="I236" s="22"/>
      <c r="J236" s="22"/>
      <c r="K236" s="22"/>
      <c r="L236" s="22"/>
    </row>
    <row r="237" spans="3:12" x14ac:dyDescent="0.25">
      <c r="C237" s="25">
        <v>12</v>
      </c>
      <c r="D237" s="9" t="str">
        <f>IF(C237=11,"Gelondonggede",IF(C237=12,"Brondong", IF(C237=13,"Padikde Talango",IF(C237=14,"Gelondonggede", IF(C237=15,"Brondong")))))</f>
        <v>Brondong</v>
      </c>
      <c r="E237" s="29">
        <v>4.55</v>
      </c>
      <c r="F237" s="28">
        <v>1110</v>
      </c>
      <c r="G237" s="29">
        <v>55.65</v>
      </c>
      <c r="H237" s="22"/>
      <c r="I237" s="22"/>
      <c r="J237" s="22"/>
      <c r="K237" s="22"/>
      <c r="L237" s="22"/>
    </row>
    <row r="238" spans="3:12" x14ac:dyDescent="0.25">
      <c r="C238" s="25">
        <v>12</v>
      </c>
      <c r="D238" s="9" t="str">
        <f>IF(C238=11,"Gelondonggede",IF(C238=12,"Brondong", IF(C238=13,"Padikde Talango",IF(C238=14,"Gelondonggede", IF(C238=15,"Brondong")))))</f>
        <v>Brondong</v>
      </c>
      <c r="E238" s="29">
        <v>4.3499999999999996</v>
      </c>
      <c r="F238" s="28">
        <v>1110</v>
      </c>
      <c r="G238" s="29">
        <v>56.49</v>
      </c>
      <c r="H238" s="22"/>
      <c r="I238" s="22"/>
      <c r="J238" s="22"/>
      <c r="K238" s="22"/>
      <c r="L238" s="22"/>
    </row>
    <row r="239" spans="3:12" x14ac:dyDescent="0.25">
      <c r="C239" s="25">
        <v>12</v>
      </c>
      <c r="D239" s="9" t="str">
        <f>IF(C239=11,"Gelondonggede",IF(C239=12,"Brondong", IF(C239=13,"Padikde Talango",IF(C239=14,"Gelondonggede", IF(C239=15,"Brondong")))))</f>
        <v>Brondong</v>
      </c>
      <c r="E239" s="29">
        <v>4.7300000000000004</v>
      </c>
      <c r="F239" s="28">
        <v>1110</v>
      </c>
      <c r="G239" s="29">
        <v>54.55</v>
      </c>
      <c r="H239" s="22"/>
      <c r="I239" s="22"/>
      <c r="J239" s="22"/>
      <c r="K239" s="22"/>
      <c r="L239" s="22"/>
    </row>
    <row r="240" spans="3:12" x14ac:dyDescent="0.25">
      <c r="C240" s="25">
        <v>12</v>
      </c>
      <c r="D240" s="9" t="str">
        <f>IF(C240=11,"Gelondonggede",IF(C240=12,"Brondong", IF(C240=13,"Padikde Talango",IF(C240=14,"Gelondonggede", IF(C240=15,"Brondong")))))</f>
        <v>Brondong</v>
      </c>
      <c r="E240" s="29">
        <v>4.18</v>
      </c>
      <c r="F240" s="28">
        <v>1110</v>
      </c>
      <c r="G240" s="29">
        <v>53.78</v>
      </c>
      <c r="H240" s="22"/>
      <c r="I240" s="22"/>
      <c r="J240" s="22"/>
      <c r="K240" s="22"/>
      <c r="L240" s="22"/>
    </row>
    <row r="241" spans="3:12" x14ac:dyDescent="0.25">
      <c r="C241" s="25">
        <v>12</v>
      </c>
      <c r="D241" s="9" t="str">
        <f>IF(C241=11,"Gelondonggede",IF(C241=12,"Brondong", IF(C241=13,"Padikde Talango",IF(C241=14,"Gelondonggede", IF(C241=15,"Brondong")))))</f>
        <v>Brondong</v>
      </c>
      <c r="E241" s="29">
        <v>3.57</v>
      </c>
      <c r="F241" s="28">
        <v>1110</v>
      </c>
      <c r="G241" s="29">
        <v>51.78</v>
      </c>
      <c r="H241" s="22"/>
      <c r="I241" s="22"/>
      <c r="J241" s="22"/>
      <c r="K241" s="22"/>
      <c r="L241" s="22"/>
    </row>
    <row r="242" spans="3:12" x14ac:dyDescent="0.25">
      <c r="C242" s="25">
        <v>12</v>
      </c>
      <c r="D242" s="9" t="str">
        <f>IF(C242=11,"Gelondonggede",IF(C242=12,"Brondong", IF(C242=13,"Padikde Talango",IF(C242=14,"Gelondonggede", IF(C242=15,"Brondong")))))</f>
        <v>Brondong</v>
      </c>
      <c r="E242" s="29">
        <v>3.6</v>
      </c>
      <c r="F242" s="28">
        <v>1110</v>
      </c>
      <c r="G242" s="29">
        <v>52.83</v>
      </c>
      <c r="H242" s="22"/>
      <c r="I242" s="22"/>
      <c r="J242" s="22"/>
      <c r="K242" s="22"/>
      <c r="L242" s="22"/>
    </row>
    <row r="243" spans="3:12" x14ac:dyDescent="0.25">
      <c r="C243" s="25">
        <v>12</v>
      </c>
      <c r="D243" s="9" t="str">
        <f>IF(C243=11,"Gelondonggede",IF(C243=12,"Brondong", IF(C243=13,"Padikde Talango",IF(C243=14,"Gelondonggede", IF(C243=15,"Brondong")))))</f>
        <v>Brondong</v>
      </c>
      <c r="E243" s="29">
        <v>3.56</v>
      </c>
      <c r="F243" s="28">
        <v>1110</v>
      </c>
      <c r="G243" s="29">
        <v>51.09</v>
      </c>
      <c r="H243" s="22"/>
      <c r="I243" s="22"/>
      <c r="J243" s="22"/>
      <c r="K243" s="22"/>
      <c r="L243" s="22"/>
    </row>
    <row r="244" spans="3:12" x14ac:dyDescent="0.25">
      <c r="C244" s="25">
        <v>12</v>
      </c>
      <c r="D244" s="9" t="str">
        <f>IF(C244=11,"Gelondonggede",IF(C244=12,"Brondong", IF(C244=13,"Padikde Talango",IF(C244=14,"Gelondonggede", IF(C244=15,"Brondong")))))</f>
        <v>Brondong</v>
      </c>
      <c r="E244" s="29">
        <v>3.21</v>
      </c>
      <c r="F244" s="28">
        <v>1110</v>
      </c>
      <c r="G244" s="29">
        <v>51.43</v>
      </c>
      <c r="H244" s="22"/>
      <c r="I244" s="22"/>
      <c r="J244" s="22"/>
      <c r="K244" s="22"/>
      <c r="L244" s="22"/>
    </row>
    <row r="245" spans="3:12" x14ac:dyDescent="0.25">
      <c r="C245" s="25">
        <v>12</v>
      </c>
      <c r="D245" s="9" t="str">
        <f>IF(C245=11,"Gelondonggede",IF(C245=12,"Brondong", IF(C245=13,"Padikde Talango",IF(C245=14,"Gelondonggede", IF(C245=15,"Brondong")))))</f>
        <v>Brondong</v>
      </c>
      <c r="E245" s="29">
        <v>3.19</v>
      </c>
      <c r="F245" s="28">
        <v>1110</v>
      </c>
      <c r="G245" s="29">
        <v>49.27</v>
      </c>
      <c r="H245" s="22"/>
      <c r="I245" s="22"/>
      <c r="J245" s="22"/>
      <c r="K245" s="22"/>
      <c r="L245" s="22"/>
    </row>
    <row r="246" spans="3:12" x14ac:dyDescent="0.25">
      <c r="C246" s="25">
        <v>12</v>
      </c>
      <c r="D246" s="9" t="str">
        <f>IF(C246=11,"Gelondonggede",IF(C246=12,"Brondong", IF(C246=13,"Padikde Talango",IF(C246=14,"Gelondonggede", IF(C246=15,"Brondong")))))</f>
        <v>Brondong</v>
      </c>
      <c r="E246" s="29">
        <v>2.85</v>
      </c>
      <c r="F246" s="28">
        <v>1110</v>
      </c>
      <c r="G246" s="29">
        <v>49.15</v>
      </c>
      <c r="H246" s="22"/>
      <c r="I246" s="22"/>
      <c r="J246" s="22"/>
      <c r="K246" s="22"/>
      <c r="L246" s="22"/>
    </row>
    <row r="247" spans="3:12" x14ac:dyDescent="0.25">
      <c r="C247" s="25">
        <v>12</v>
      </c>
      <c r="D247" s="9" t="str">
        <f>IF(C247=11,"Gelondonggede",IF(C247=12,"Brondong", IF(C247=13,"Padikde Talango",IF(C247=14,"Gelondonggede", IF(C247=15,"Brondong")))))</f>
        <v>Brondong</v>
      </c>
      <c r="E247" s="29">
        <v>2.88</v>
      </c>
      <c r="F247" s="28">
        <v>1110</v>
      </c>
      <c r="G247" s="29">
        <v>50.25</v>
      </c>
      <c r="H247" s="22"/>
      <c r="I247" s="22"/>
      <c r="J247" s="22"/>
      <c r="K247" s="22"/>
      <c r="L247" s="22"/>
    </row>
    <row r="248" spans="3:12" x14ac:dyDescent="0.25">
      <c r="C248" s="25">
        <v>12</v>
      </c>
      <c r="D248" s="9" t="str">
        <f>IF(C248=11,"Gelondonggede",IF(C248=12,"Brondong", IF(C248=13,"Padikde Talango",IF(C248=14,"Gelondonggede", IF(C248=15,"Brondong")))))</f>
        <v>Brondong</v>
      </c>
      <c r="E248" s="29">
        <v>2.2999999999999998</v>
      </c>
      <c r="F248" s="28">
        <v>1110</v>
      </c>
      <c r="G248" s="29">
        <v>46.29</v>
      </c>
      <c r="H248" s="22"/>
      <c r="I248" s="22"/>
      <c r="J248" s="22"/>
      <c r="K248" s="22"/>
      <c r="L248" s="22"/>
    </row>
  </sheetData>
  <mergeCells count="1">
    <mergeCell ref="N1:O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62CC9-98BB-4519-A7DE-41A147899343}">
  <dimension ref="A1:Q248"/>
  <sheetViews>
    <sheetView workbookViewId="0">
      <selection sqref="A1:XFD1048576"/>
    </sheetView>
  </sheetViews>
  <sheetFormatPr defaultColWidth="9.140625" defaultRowHeight="14.25" x14ac:dyDescent="0.2"/>
  <cols>
    <col min="1" max="2" width="9.140625" style="9"/>
    <col min="3" max="3" width="15" style="9" bestFit="1" customWidth="1"/>
    <col min="4" max="5" width="9.28515625" style="9" bestFit="1" customWidth="1"/>
    <col min="6" max="6" width="10.5703125" style="9" bestFit="1" customWidth="1"/>
    <col min="7" max="14" width="9.140625" style="9"/>
    <col min="15" max="15" width="13.85546875" style="9" bestFit="1" customWidth="1"/>
    <col min="16" max="17" width="9.28515625" style="9" bestFit="1" customWidth="1"/>
    <col min="18" max="16384" width="9.140625" style="9"/>
  </cols>
  <sheetData>
    <row r="1" spans="1:17" ht="15" x14ac:dyDescent="0.25">
      <c r="A1" s="17" t="s">
        <v>9</v>
      </c>
      <c r="B1" s="17"/>
      <c r="C1" s="10" t="s">
        <v>1</v>
      </c>
      <c r="D1" s="18" t="s">
        <v>2</v>
      </c>
      <c r="E1" s="10" t="s">
        <v>10</v>
      </c>
      <c r="F1" s="18" t="s">
        <v>14</v>
      </c>
      <c r="G1" s="18"/>
      <c r="H1" s="18"/>
      <c r="I1" s="18"/>
      <c r="J1" s="18"/>
      <c r="M1" s="31" t="s">
        <v>11</v>
      </c>
      <c r="N1" s="31"/>
      <c r="O1" s="10" t="s">
        <v>1</v>
      </c>
      <c r="P1" s="18" t="s">
        <v>15</v>
      </c>
      <c r="Q1" s="20" t="s">
        <v>16</v>
      </c>
    </row>
    <row r="2" spans="1:17" x14ac:dyDescent="0.2">
      <c r="C2" s="9" t="s">
        <v>17</v>
      </c>
      <c r="D2" s="9">
        <v>22119</v>
      </c>
      <c r="E2" s="32">
        <v>24</v>
      </c>
      <c r="F2" s="33">
        <f>LN(E2)</f>
        <v>3.1780538303479458</v>
      </c>
      <c r="G2" s="34"/>
      <c r="O2" s="9" t="s">
        <v>18</v>
      </c>
      <c r="P2" s="32">
        <v>45</v>
      </c>
      <c r="Q2" s="32">
        <v>42</v>
      </c>
    </row>
    <row r="3" spans="1:17" x14ac:dyDescent="0.2">
      <c r="C3" s="9" t="s">
        <v>17</v>
      </c>
      <c r="D3" s="9">
        <v>22119</v>
      </c>
      <c r="E3" s="32">
        <v>43</v>
      </c>
      <c r="F3" s="33">
        <f t="shared" ref="F3:F26" si="0">LN(E3)</f>
        <v>3.7612001156935624</v>
      </c>
      <c r="G3" s="34"/>
      <c r="O3" s="9" t="s">
        <v>18</v>
      </c>
      <c r="P3" s="32">
        <v>37</v>
      </c>
      <c r="Q3" s="32">
        <v>43</v>
      </c>
    </row>
    <row r="4" spans="1:17" x14ac:dyDescent="0.2">
      <c r="C4" s="9" t="s">
        <v>17</v>
      </c>
      <c r="D4" s="9">
        <v>22119</v>
      </c>
      <c r="E4" s="32">
        <v>58</v>
      </c>
      <c r="F4" s="33">
        <f t="shared" si="0"/>
        <v>4.0604430105464191</v>
      </c>
      <c r="G4" s="34"/>
      <c r="O4" s="9" t="s">
        <v>18</v>
      </c>
      <c r="P4" s="32">
        <v>60</v>
      </c>
      <c r="Q4" s="32">
        <v>55</v>
      </c>
    </row>
    <row r="5" spans="1:17" x14ac:dyDescent="0.2">
      <c r="C5" s="9" t="s">
        <v>17</v>
      </c>
      <c r="D5" s="9">
        <v>22119</v>
      </c>
      <c r="E5" s="32">
        <v>70</v>
      </c>
      <c r="F5" s="33">
        <f t="shared" si="0"/>
        <v>4.2484952420493594</v>
      </c>
      <c r="G5" s="34"/>
      <c r="O5" s="9" t="s">
        <v>18</v>
      </c>
      <c r="P5" s="32">
        <v>53</v>
      </c>
      <c r="Q5" s="32">
        <v>26</v>
      </c>
    </row>
    <row r="6" spans="1:17" x14ac:dyDescent="0.2">
      <c r="C6" s="9" t="s">
        <v>17</v>
      </c>
      <c r="D6" s="9">
        <v>22119</v>
      </c>
      <c r="E6" s="32">
        <v>43</v>
      </c>
      <c r="F6" s="33">
        <f t="shared" si="0"/>
        <v>3.7612001156935624</v>
      </c>
      <c r="G6" s="34"/>
      <c r="O6" s="9" t="s">
        <v>18</v>
      </c>
      <c r="P6" s="32">
        <v>42</v>
      </c>
      <c r="Q6" s="32">
        <v>62</v>
      </c>
    </row>
    <row r="7" spans="1:17" x14ac:dyDescent="0.2">
      <c r="C7" s="9" t="s">
        <v>17</v>
      </c>
      <c r="D7" s="9">
        <v>22119</v>
      </c>
      <c r="E7" s="32">
        <v>49</v>
      </c>
      <c r="F7" s="33">
        <f t="shared" si="0"/>
        <v>3.8918202981106265</v>
      </c>
      <c r="G7" s="34"/>
      <c r="O7" s="9" t="s">
        <v>18</v>
      </c>
      <c r="P7" s="32">
        <v>37</v>
      </c>
      <c r="Q7" s="32">
        <v>37</v>
      </c>
    </row>
    <row r="8" spans="1:17" x14ac:dyDescent="0.2">
      <c r="C8" s="9" t="s">
        <v>17</v>
      </c>
      <c r="D8" s="9">
        <v>22119</v>
      </c>
      <c r="E8" s="32">
        <v>61</v>
      </c>
      <c r="F8" s="33">
        <f t="shared" si="0"/>
        <v>4.1108738641733114</v>
      </c>
      <c r="G8" s="34"/>
      <c r="O8" s="9" t="s">
        <v>18</v>
      </c>
      <c r="P8" s="32">
        <v>42</v>
      </c>
      <c r="Q8" s="32">
        <v>33</v>
      </c>
    </row>
    <row r="9" spans="1:17" x14ac:dyDescent="0.2">
      <c r="C9" s="9" t="s">
        <v>17</v>
      </c>
      <c r="D9" s="9">
        <v>22119</v>
      </c>
      <c r="E9" s="32">
        <v>44</v>
      </c>
      <c r="F9" s="33">
        <f t="shared" si="0"/>
        <v>3.784189633918261</v>
      </c>
      <c r="G9" s="34"/>
      <c r="O9" s="9" t="s">
        <v>18</v>
      </c>
      <c r="P9" s="32">
        <v>55</v>
      </c>
      <c r="Q9" s="32">
        <v>22</v>
      </c>
    </row>
    <row r="10" spans="1:17" x14ac:dyDescent="0.2">
      <c r="C10" s="9" t="s">
        <v>17</v>
      </c>
      <c r="D10" s="9">
        <v>22119</v>
      </c>
      <c r="E10" s="32">
        <v>67</v>
      </c>
      <c r="F10" s="33">
        <f t="shared" si="0"/>
        <v>4.2046926193909657</v>
      </c>
      <c r="G10" s="34"/>
      <c r="O10" s="9" t="s">
        <v>18</v>
      </c>
      <c r="P10" s="32">
        <v>28</v>
      </c>
      <c r="Q10" s="32">
        <v>19</v>
      </c>
    </row>
    <row r="11" spans="1:17" x14ac:dyDescent="0.2">
      <c r="C11" s="9" t="s">
        <v>17</v>
      </c>
      <c r="D11" s="9">
        <v>22119</v>
      </c>
      <c r="E11" s="32">
        <v>49</v>
      </c>
      <c r="F11" s="33">
        <f t="shared" si="0"/>
        <v>3.8918202981106265</v>
      </c>
      <c r="G11" s="34"/>
      <c r="O11" s="9" t="s">
        <v>18</v>
      </c>
      <c r="P11" s="32">
        <v>48</v>
      </c>
      <c r="Q11" s="32">
        <v>54</v>
      </c>
    </row>
    <row r="12" spans="1:17" x14ac:dyDescent="0.2">
      <c r="C12" s="9" t="s">
        <v>17</v>
      </c>
      <c r="D12" s="9">
        <v>22119</v>
      </c>
      <c r="E12" s="32">
        <v>53</v>
      </c>
      <c r="F12" s="33">
        <f t="shared" si="0"/>
        <v>3.970291913552122</v>
      </c>
      <c r="G12" s="34"/>
      <c r="O12" s="9" t="s">
        <v>18</v>
      </c>
      <c r="P12" s="32">
        <v>26</v>
      </c>
      <c r="Q12" s="32">
        <v>20</v>
      </c>
    </row>
    <row r="13" spans="1:17" x14ac:dyDescent="0.2">
      <c r="C13" s="9" t="s">
        <v>17</v>
      </c>
      <c r="D13" s="9">
        <v>22119</v>
      </c>
      <c r="E13" s="32">
        <v>56</v>
      </c>
      <c r="F13" s="33">
        <f t="shared" si="0"/>
        <v>4.0253516907351496</v>
      </c>
      <c r="G13" s="34"/>
      <c r="O13" s="9" t="s">
        <v>18</v>
      </c>
      <c r="P13" s="32">
        <v>32</v>
      </c>
      <c r="Q13" s="32">
        <v>63</v>
      </c>
    </row>
    <row r="14" spans="1:17" x14ac:dyDescent="0.2">
      <c r="C14" s="9" t="s">
        <v>17</v>
      </c>
      <c r="D14" s="9">
        <v>22119</v>
      </c>
      <c r="E14" s="32">
        <v>59</v>
      </c>
      <c r="F14" s="33">
        <f t="shared" si="0"/>
        <v>4.0775374439057197</v>
      </c>
      <c r="G14" s="34"/>
      <c r="O14" s="9" t="s">
        <v>18</v>
      </c>
      <c r="P14" s="32">
        <v>18</v>
      </c>
      <c r="Q14" s="32">
        <v>46</v>
      </c>
    </row>
    <row r="15" spans="1:17" x14ac:dyDescent="0.2">
      <c r="C15" s="9" t="s">
        <v>19</v>
      </c>
      <c r="D15" s="9">
        <v>22119</v>
      </c>
      <c r="E15" s="32">
        <v>52</v>
      </c>
      <c r="F15" s="33">
        <f t="shared" si="0"/>
        <v>3.9512437185814275</v>
      </c>
      <c r="G15" s="34"/>
      <c r="P15" s="26"/>
      <c r="Q15" s="29"/>
    </row>
    <row r="16" spans="1:17" x14ac:dyDescent="0.2">
      <c r="C16" s="9" t="s">
        <v>19</v>
      </c>
      <c r="D16" s="9">
        <v>22119</v>
      </c>
      <c r="E16" s="32">
        <v>62</v>
      </c>
      <c r="F16" s="33">
        <f t="shared" si="0"/>
        <v>4.1271343850450917</v>
      </c>
      <c r="G16" s="34"/>
      <c r="P16" s="35"/>
      <c r="Q16" s="35"/>
    </row>
    <row r="17" spans="3:17" x14ac:dyDescent="0.2">
      <c r="C17" s="9" t="s">
        <v>19</v>
      </c>
      <c r="D17" s="9">
        <v>22119</v>
      </c>
      <c r="E17" s="32">
        <v>54</v>
      </c>
      <c r="F17" s="33">
        <f t="shared" si="0"/>
        <v>3.9889840465642745</v>
      </c>
      <c r="G17" s="34"/>
      <c r="P17" s="26"/>
      <c r="Q17" s="29"/>
    </row>
    <row r="18" spans="3:17" x14ac:dyDescent="0.2">
      <c r="C18" s="9" t="s">
        <v>19</v>
      </c>
      <c r="D18" s="9">
        <v>22119</v>
      </c>
      <c r="E18" s="32">
        <v>57</v>
      </c>
      <c r="F18" s="33">
        <f t="shared" si="0"/>
        <v>4.0430512678345503</v>
      </c>
      <c r="G18" s="34"/>
      <c r="P18" s="26"/>
      <c r="Q18" s="29"/>
    </row>
    <row r="19" spans="3:17" x14ac:dyDescent="0.2">
      <c r="C19" s="9" t="s">
        <v>19</v>
      </c>
      <c r="D19" s="9">
        <v>22119</v>
      </c>
      <c r="E19" s="32">
        <v>33</v>
      </c>
      <c r="F19" s="33">
        <f t="shared" si="0"/>
        <v>3.4965075614664802</v>
      </c>
      <c r="G19" s="34"/>
      <c r="P19" s="26"/>
      <c r="Q19" s="29"/>
    </row>
    <row r="20" spans="3:17" x14ac:dyDescent="0.2">
      <c r="C20" s="9" t="s">
        <v>19</v>
      </c>
      <c r="D20" s="9">
        <v>22119</v>
      </c>
      <c r="E20" s="32">
        <v>46</v>
      </c>
      <c r="F20" s="33">
        <f t="shared" si="0"/>
        <v>3.8286413964890951</v>
      </c>
      <c r="G20" s="34"/>
      <c r="P20" s="26"/>
      <c r="Q20" s="29"/>
    </row>
    <row r="21" spans="3:17" x14ac:dyDescent="0.2">
      <c r="C21" s="9" t="s">
        <v>19</v>
      </c>
      <c r="D21" s="9">
        <v>22119</v>
      </c>
      <c r="E21" s="32">
        <v>43</v>
      </c>
      <c r="F21" s="33">
        <f t="shared" si="0"/>
        <v>3.7612001156935624</v>
      </c>
      <c r="G21" s="34"/>
      <c r="P21" s="26"/>
      <c r="Q21" s="29"/>
    </row>
    <row r="22" spans="3:17" x14ac:dyDescent="0.2">
      <c r="C22" s="9" t="s">
        <v>19</v>
      </c>
      <c r="D22" s="9">
        <v>22119</v>
      </c>
      <c r="E22" s="32">
        <v>57</v>
      </c>
      <c r="F22" s="33">
        <f t="shared" si="0"/>
        <v>4.0430512678345503</v>
      </c>
      <c r="G22" s="34"/>
      <c r="P22" s="26"/>
      <c r="Q22" s="29"/>
    </row>
    <row r="23" spans="3:17" x14ac:dyDescent="0.2">
      <c r="C23" s="9" t="s">
        <v>19</v>
      </c>
      <c r="D23" s="9">
        <v>22119</v>
      </c>
      <c r="E23" s="32">
        <v>57</v>
      </c>
      <c r="F23" s="33">
        <f t="shared" si="0"/>
        <v>4.0430512678345503</v>
      </c>
      <c r="G23" s="34"/>
      <c r="P23" s="26"/>
      <c r="Q23" s="29"/>
    </row>
    <row r="24" spans="3:17" x14ac:dyDescent="0.2">
      <c r="C24" s="9" t="s">
        <v>19</v>
      </c>
      <c r="D24" s="9">
        <v>22119</v>
      </c>
      <c r="E24" s="32">
        <v>56</v>
      </c>
      <c r="F24" s="33">
        <f t="shared" si="0"/>
        <v>4.0253516907351496</v>
      </c>
      <c r="G24" s="34"/>
      <c r="P24" s="26"/>
      <c r="Q24" s="29"/>
    </row>
    <row r="25" spans="3:17" x14ac:dyDescent="0.2">
      <c r="C25" s="9" t="s">
        <v>19</v>
      </c>
      <c r="D25" s="9">
        <v>22119</v>
      </c>
      <c r="E25" s="32">
        <v>45</v>
      </c>
      <c r="F25" s="33">
        <f t="shared" si="0"/>
        <v>3.8066624897703196</v>
      </c>
      <c r="G25" s="34"/>
      <c r="P25" s="26"/>
      <c r="Q25" s="29"/>
    </row>
    <row r="26" spans="3:17" x14ac:dyDescent="0.2">
      <c r="C26" s="9" t="s">
        <v>19</v>
      </c>
      <c r="D26" s="9">
        <v>22119</v>
      </c>
      <c r="E26" s="32">
        <v>60</v>
      </c>
      <c r="F26" s="33">
        <f t="shared" si="0"/>
        <v>4.0943445622221004</v>
      </c>
      <c r="G26" s="34"/>
      <c r="P26" s="26"/>
      <c r="Q26" s="29"/>
    </row>
    <row r="27" spans="3:17" x14ac:dyDescent="0.2">
      <c r="F27" s="33"/>
      <c r="G27" s="34"/>
      <c r="P27" s="26"/>
      <c r="Q27" s="29"/>
    </row>
    <row r="28" spans="3:17" x14ac:dyDescent="0.2">
      <c r="F28" s="33"/>
      <c r="G28" s="34"/>
      <c r="P28" s="26"/>
      <c r="Q28" s="29"/>
    </row>
    <row r="29" spans="3:17" x14ac:dyDescent="0.2">
      <c r="F29" s="33"/>
      <c r="G29" s="34"/>
      <c r="P29" s="26"/>
      <c r="Q29" s="29"/>
    </row>
    <row r="30" spans="3:17" x14ac:dyDescent="0.2">
      <c r="F30" s="33"/>
      <c r="G30" s="34"/>
      <c r="P30" s="26"/>
      <c r="Q30" s="29"/>
    </row>
    <row r="31" spans="3:17" x14ac:dyDescent="0.2">
      <c r="F31" s="33"/>
      <c r="G31" s="34"/>
      <c r="P31" s="26"/>
      <c r="Q31" s="29"/>
    </row>
    <row r="32" spans="3:17" x14ac:dyDescent="0.2">
      <c r="F32" s="33"/>
      <c r="G32" s="34"/>
      <c r="P32" s="26"/>
      <c r="Q32" s="29"/>
    </row>
    <row r="33" spans="6:17" x14ac:dyDescent="0.2">
      <c r="F33" s="33"/>
      <c r="G33" s="34"/>
      <c r="P33" s="26"/>
      <c r="Q33" s="29"/>
    </row>
    <row r="34" spans="6:17" x14ac:dyDescent="0.2">
      <c r="F34" s="33"/>
      <c r="G34" s="34"/>
      <c r="P34" s="26"/>
      <c r="Q34" s="29"/>
    </row>
    <row r="35" spans="6:17" x14ac:dyDescent="0.2">
      <c r="F35" s="33"/>
      <c r="G35" s="34"/>
      <c r="P35" s="26"/>
      <c r="Q35" s="29"/>
    </row>
    <row r="36" spans="6:17" x14ac:dyDescent="0.2">
      <c r="F36" s="33"/>
      <c r="G36" s="34"/>
      <c r="P36" s="26"/>
      <c r="Q36" s="29"/>
    </row>
    <row r="37" spans="6:17" x14ac:dyDescent="0.2">
      <c r="F37" s="33"/>
      <c r="G37" s="34"/>
      <c r="P37" s="26"/>
      <c r="Q37" s="29"/>
    </row>
    <row r="38" spans="6:17" x14ac:dyDescent="0.2">
      <c r="F38" s="33"/>
      <c r="G38" s="34"/>
      <c r="P38" s="26"/>
      <c r="Q38" s="29"/>
    </row>
    <row r="39" spans="6:17" x14ac:dyDescent="0.2">
      <c r="F39" s="33"/>
      <c r="G39" s="34"/>
      <c r="P39" s="26"/>
      <c r="Q39" s="29"/>
    </row>
    <row r="40" spans="6:17" x14ac:dyDescent="0.2">
      <c r="F40" s="33"/>
      <c r="G40" s="34"/>
      <c r="P40" s="26"/>
      <c r="Q40" s="29"/>
    </row>
    <row r="41" spans="6:17" x14ac:dyDescent="0.2">
      <c r="F41" s="33"/>
      <c r="G41" s="34"/>
      <c r="P41" s="26"/>
      <c r="Q41" s="29"/>
    </row>
    <row r="42" spans="6:17" x14ac:dyDescent="0.2">
      <c r="F42" s="33"/>
      <c r="G42" s="34"/>
      <c r="P42" s="26"/>
      <c r="Q42" s="29"/>
    </row>
    <row r="43" spans="6:17" x14ac:dyDescent="0.2">
      <c r="F43" s="33"/>
      <c r="G43" s="34"/>
      <c r="P43" s="26"/>
      <c r="Q43" s="29"/>
    </row>
    <row r="44" spans="6:17" x14ac:dyDescent="0.2">
      <c r="F44" s="33"/>
      <c r="G44" s="34"/>
      <c r="P44" s="26"/>
      <c r="Q44" s="29"/>
    </row>
    <row r="45" spans="6:17" x14ac:dyDescent="0.2">
      <c r="F45" s="33"/>
      <c r="G45" s="34"/>
      <c r="P45" s="26"/>
      <c r="Q45" s="29"/>
    </row>
    <row r="46" spans="6:17" x14ac:dyDescent="0.2">
      <c r="F46" s="33"/>
      <c r="G46" s="34"/>
      <c r="P46" s="26"/>
      <c r="Q46" s="29"/>
    </row>
    <row r="47" spans="6:17" x14ac:dyDescent="0.2">
      <c r="F47" s="33"/>
      <c r="G47" s="34"/>
      <c r="P47" s="26"/>
      <c r="Q47" s="29"/>
    </row>
    <row r="48" spans="6:17" x14ac:dyDescent="0.2">
      <c r="F48" s="33"/>
      <c r="G48" s="34"/>
      <c r="P48" s="26"/>
      <c r="Q48" s="29"/>
    </row>
    <row r="49" spans="6:17" x14ac:dyDescent="0.2">
      <c r="F49" s="33"/>
      <c r="G49" s="34"/>
      <c r="P49" s="26"/>
      <c r="Q49" s="29"/>
    </row>
    <row r="50" spans="6:17" x14ac:dyDescent="0.2">
      <c r="F50" s="33"/>
      <c r="G50" s="34"/>
      <c r="P50" s="26"/>
      <c r="Q50" s="29"/>
    </row>
    <row r="51" spans="6:17" x14ac:dyDescent="0.2">
      <c r="F51" s="33"/>
      <c r="G51" s="34"/>
      <c r="P51" s="26"/>
      <c r="Q51" s="29"/>
    </row>
    <row r="52" spans="6:17" x14ac:dyDescent="0.2">
      <c r="F52" s="33"/>
      <c r="G52" s="34"/>
      <c r="P52" s="26"/>
      <c r="Q52" s="29"/>
    </row>
    <row r="53" spans="6:17" x14ac:dyDescent="0.2">
      <c r="F53" s="33"/>
      <c r="G53" s="34"/>
      <c r="P53" s="26"/>
      <c r="Q53" s="29"/>
    </row>
    <row r="54" spans="6:17" x14ac:dyDescent="0.2">
      <c r="F54" s="33"/>
      <c r="G54" s="34"/>
      <c r="P54" s="26"/>
      <c r="Q54" s="29"/>
    </row>
    <row r="55" spans="6:17" x14ac:dyDescent="0.2">
      <c r="F55" s="33"/>
      <c r="G55" s="34"/>
      <c r="P55" s="26"/>
      <c r="Q55" s="29"/>
    </row>
    <row r="56" spans="6:17" x14ac:dyDescent="0.2">
      <c r="F56" s="33"/>
      <c r="G56" s="34"/>
      <c r="P56" s="26"/>
      <c r="Q56" s="29"/>
    </row>
    <row r="57" spans="6:17" x14ac:dyDescent="0.2">
      <c r="F57" s="33"/>
      <c r="G57" s="34"/>
      <c r="P57" s="26"/>
      <c r="Q57" s="29"/>
    </row>
    <row r="58" spans="6:17" x14ac:dyDescent="0.2">
      <c r="F58" s="33"/>
      <c r="G58" s="34"/>
      <c r="P58" s="26"/>
      <c r="Q58" s="29"/>
    </row>
    <row r="59" spans="6:17" x14ac:dyDescent="0.2">
      <c r="F59" s="33"/>
      <c r="G59" s="34"/>
      <c r="P59" s="26"/>
      <c r="Q59" s="29"/>
    </row>
    <row r="60" spans="6:17" x14ac:dyDescent="0.2">
      <c r="F60" s="33"/>
      <c r="G60" s="34"/>
      <c r="P60" s="26"/>
      <c r="Q60" s="29"/>
    </row>
    <row r="61" spans="6:17" x14ac:dyDescent="0.2">
      <c r="F61" s="33"/>
      <c r="G61" s="34"/>
      <c r="Q61" s="29"/>
    </row>
    <row r="62" spans="6:17" x14ac:dyDescent="0.2">
      <c r="F62" s="33"/>
      <c r="G62" s="34"/>
      <c r="Q62" s="29"/>
    </row>
    <row r="63" spans="6:17" x14ac:dyDescent="0.2">
      <c r="F63" s="33"/>
      <c r="G63" s="34"/>
      <c r="Q63" s="29"/>
    </row>
    <row r="64" spans="6:17" x14ac:dyDescent="0.2">
      <c r="F64" s="33"/>
      <c r="G64" s="34"/>
      <c r="Q64" s="29"/>
    </row>
    <row r="65" spans="6:17" x14ac:dyDescent="0.2">
      <c r="F65" s="33"/>
      <c r="G65" s="34"/>
      <c r="Q65" s="29"/>
    </row>
    <row r="66" spans="6:17" x14ac:dyDescent="0.2">
      <c r="F66" s="33"/>
      <c r="G66" s="34"/>
      <c r="Q66" s="29"/>
    </row>
    <row r="67" spans="6:17" x14ac:dyDescent="0.2">
      <c r="F67" s="33"/>
      <c r="G67" s="34"/>
      <c r="Q67" s="29"/>
    </row>
    <row r="68" spans="6:17" x14ac:dyDescent="0.2">
      <c r="F68" s="33"/>
      <c r="G68" s="34"/>
      <c r="Q68" s="29"/>
    </row>
    <row r="69" spans="6:17" x14ac:dyDescent="0.2">
      <c r="F69" s="33"/>
      <c r="G69" s="34"/>
      <c r="Q69" s="29"/>
    </row>
    <row r="70" spans="6:17" x14ac:dyDescent="0.2">
      <c r="F70" s="33"/>
      <c r="G70" s="34"/>
      <c r="Q70" s="29"/>
    </row>
    <row r="71" spans="6:17" x14ac:dyDescent="0.2">
      <c r="F71" s="33"/>
      <c r="G71" s="34"/>
      <c r="Q71" s="29"/>
    </row>
    <row r="72" spans="6:17" x14ac:dyDescent="0.2">
      <c r="F72" s="33"/>
      <c r="G72" s="34"/>
      <c r="Q72" s="29"/>
    </row>
    <row r="73" spans="6:17" x14ac:dyDescent="0.2">
      <c r="F73" s="33"/>
      <c r="G73" s="34"/>
      <c r="Q73" s="29"/>
    </row>
    <row r="74" spans="6:17" x14ac:dyDescent="0.2">
      <c r="F74" s="33"/>
      <c r="G74" s="34"/>
      <c r="Q74" s="29"/>
    </row>
    <row r="75" spans="6:17" x14ac:dyDescent="0.2">
      <c r="F75" s="33"/>
      <c r="G75" s="34"/>
      <c r="Q75" s="29"/>
    </row>
    <row r="76" spans="6:17" x14ac:dyDescent="0.2">
      <c r="F76" s="33"/>
      <c r="G76" s="34"/>
      <c r="Q76" s="29"/>
    </row>
    <row r="77" spans="6:17" x14ac:dyDescent="0.2">
      <c r="F77" s="33"/>
      <c r="G77" s="34"/>
      <c r="Q77" s="29"/>
    </row>
    <row r="78" spans="6:17" x14ac:dyDescent="0.2">
      <c r="F78" s="33"/>
      <c r="G78" s="34"/>
      <c r="Q78" s="29"/>
    </row>
    <row r="79" spans="6:17" x14ac:dyDescent="0.2">
      <c r="F79" s="33"/>
      <c r="G79" s="34"/>
      <c r="Q79" s="29"/>
    </row>
    <row r="80" spans="6:17" x14ac:dyDescent="0.2">
      <c r="F80" s="33"/>
      <c r="G80" s="34"/>
      <c r="Q80" s="29"/>
    </row>
    <row r="81" spans="6:17" x14ac:dyDescent="0.2">
      <c r="F81" s="33"/>
      <c r="G81" s="34"/>
      <c r="Q81" s="29"/>
    </row>
    <row r="82" spans="6:17" x14ac:dyDescent="0.2">
      <c r="F82" s="33"/>
      <c r="G82" s="34"/>
      <c r="Q82" s="29"/>
    </row>
    <row r="83" spans="6:17" x14ac:dyDescent="0.2">
      <c r="F83" s="33"/>
      <c r="G83" s="34"/>
      <c r="Q83" s="29"/>
    </row>
    <row r="84" spans="6:17" x14ac:dyDescent="0.2">
      <c r="F84" s="33"/>
      <c r="G84" s="34"/>
      <c r="Q84" s="29"/>
    </row>
    <row r="85" spans="6:17" x14ac:dyDescent="0.2">
      <c r="F85" s="33"/>
      <c r="G85" s="34"/>
      <c r="Q85" s="29"/>
    </row>
    <row r="86" spans="6:17" x14ac:dyDescent="0.2">
      <c r="F86" s="33"/>
      <c r="G86" s="34"/>
      <c r="Q86" s="29"/>
    </row>
    <row r="87" spans="6:17" x14ac:dyDescent="0.2">
      <c r="F87" s="33"/>
      <c r="G87" s="34"/>
      <c r="Q87" s="29"/>
    </row>
    <row r="88" spans="6:17" x14ac:dyDescent="0.2">
      <c r="F88" s="33"/>
      <c r="G88" s="34"/>
      <c r="Q88" s="29"/>
    </row>
    <row r="89" spans="6:17" x14ac:dyDescent="0.2">
      <c r="F89" s="33"/>
      <c r="G89" s="34"/>
      <c r="Q89" s="29"/>
    </row>
    <row r="90" spans="6:17" x14ac:dyDescent="0.2">
      <c r="F90" s="33"/>
      <c r="G90" s="34"/>
      <c r="Q90" s="29"/>
    </row>
    <row r="91" spans="6:17" x14ac:dyDescent="0.2">
      <c r="F91" s="33"/>
      <c r="G91" s="34"/>
      <c r="Q91" s="29"/>
    </row>
    <row r="92" spans="6:17" x14ac:dyDescent="0.2">
      <c r="F92" s="33"/>
      <c r="G92" s="34"/>
      <c r="Q92" s="29"/>
    </row>
    <row r="93" spans="6:17" x14ac:dyDescent="0.2">
      <c r="F93" s="33"/>
      <c r="G93" s="34"/>
      <c r="Q93" s="29"/>
    </row>
    <row r="94" spans="6:17" x14ac:dyDescent="0.2">
      <c r="F94" s="33"/>
      <c r="G94" s="34"/>
      <c r="Q94" s="29"/>
    </row>
    <row r="95" spans="6:17" x14ac:dyDescent="0.2">
      <c r="F95" s="33"/>
      <c r="G95" s="34"/>
      <c r="Q95" s="29"/>
    </row>
    <row r="96" spans="6:17" x14ac:dyDescent="0.2">
      <c r="F96" s="33"/>
      <c r="G96" s="34"/>
      <c r="Q96" s="29"/>
    </row>
    <row r="97" spans="6:17" x14ac:dyDescent="0.2">
      <c r="F97" s="33"/>
      <c r="G97" s="34"/>
      <c r="Q97" s="29"/>
    </row>
    <row r="98" spans="6:17" x14ac:dyDescent="0.2">
      <c r="F98" s="33"/>
      <c r="G98" s="34"/>
      <c r="Q98" s="29"/>
    </row>
    <row r="99" spans="6:17" x14ac:dyDescent="0.2">
      <c r="F99" s="33"/>
      <c r="G99" s="34"/>
      <c r="Q99" s="29"/>
    </row>
    <row r="100" spans="6:17" x14ac:dyDescent="0.2">
      <c r="F100" s="33"/>
      <c r="G100" s="34"/>
      <c r="Q100" s="29"/>
    </row>
    <row r="101" spans="6:17" x14ac:dyDescent="0.2">
      <c r="F101" s="33"/>
      <c r="G101" s="34"/>
      <c r="Q101" s="29"/>
    </row>
    <row r="102" spans="6:17" x14ac:dyDescent="0.2">
      <c r="F102" s="33"/>
      <c r="G102" s="34"/>
      <c r="Q102" s="29"/>
    </row>
    <row r="103" spans="6:17" x14ac:dyDescent="0.2">
      <c r="F103" s="33"/>
      <c r="G103" s="34"/>
      <c r="Q103" s="29"/>
    </row>
    <row r="104" spans="6:17" x14ac:dyDescent="0.2">
      <c r="F104" s="33"/>
      <c r="G104" s="34"/>
      <c r="Q104" s="29"/>
    </row>
    <row r="105" spans="6:17" x14ac:dyDescent="0.2">
      <c r="F105" s="33"/>
      <c r="G105" s="34"/>
      <c r="Q105" s="29"/>
    </row>
    <row r="106" spans="6:17" x14ac:dyDescent="0.2">
      <c r="F106" s="33"/>
      <c r="G106" s="34"/>
      <c r="Q106" s="29"/>
    </row>
    <row r="107" spans="6:17" x14ac:dyDescent="0.2">
      <c r="F107" s="33"/>
      <c r="G107" s="34"/>
      <c r="Q107" s="29"/>
    </row>
    <row r="108" spans="6:17" x14ac:dyDescent="0.2">
      <c r="F108" s="33"/>
      <c r="G108" s="34"/>
      <c r="Q108" s="29"/>
    </row>
    <row r="109" spans="6:17" x14ac:dyDescent="0.2">
      <c r="F109" s="33"/>
      <c r="G109" s="34"/>
      <c r="Q109" s="29"/>
    </row>
    <row r="110" spans="6:17" x14ac:dyDescent="0.2">
      <c r="F110" s="33"/>
      <c r="G110" s="34"/>
      <c r="Q110" s="29"/>
    </row>
    <row r="111" spans="6:17" x14ac:dyDescent="0.2">
      <c r="F111" s="33"/>
      <c r="G111" s="34"/>
    </row>
    <row r="112" spans="6:17" x14ac:dyDescent="0.2">
      <c r="F112" s="33"/>
      <c r="G112" s="34"/>
    </row>
    <row r="113" spans="6:7" x14ac:dyDescent="0.2">
      <c r="F113" s="33"/>
      <c r="G113" s="34"/>
    </row>
    <row r="114" spans="6:7" x14ac:dyDescent="0.2">
      <c r="F114" s="33"/>
      <c r="G114" s="34"/>
    </row>
    <row r="115" spans="6:7" x14ac:dyDescent="0.2">
      <c r="F115" s="33"/>
      <c r="G115" s="34"/>
    </row>
    <row r="116" spans="6:7" x14ac:dyDescent="0.2">
      <c r="F116" s="33"/>
      <c r="G116" s="34"/>
    </row>
    <row r="117" spans="6:7" x14ac:dyDescent="0.2">
      <c r="F117" s="33"/>
      <c r="G117" s="34"/>
    </row>
    <row r="118" spans="6:7" x14ac:dyDescent="0.2">
      <c r="F118" s="33"/>
      <c r="G118" s="34"/>
    </row>
    <row r="119" spans="6:7" x14ac:dyDescent="0.2">
      <c r="F119" s="33"/>
      <c r="G119" s="34"/>
    </row>
    <row r="120" spans="6:7" x14ac:dyDescent="0.2">
      <c r="F120" s="33"/>
      <c r="G120" s="34"/>
    </row>
    <row r="121" spans="6:7" x14ac:dyDescent="0.2">
      <c r="F121" s="33"/>
      <c r="G121" s="34"/>
    </row>
    <row r="122" spans="6:7" x14ac:dyDescent="0.2">
      <c r="F122" s="33"/>
      <c r="G122" s="34"/>
    </row>
    <row r="123" spans="6:7" x14ac:dyDescent="0.2">
      <c r="F123" s="33"/>
      <c r="G123" s="34"/>
    </row>
    <row r="124" spans="6:7" x14ac:dyDescent="0.2">
      <c r="F124" s="33"/>
      <c r="G124" s="34"/>
    </row>
    <row r="125" spans="6:7" x14ac:dyDescent="0.2">
      <c r="F125" s="33"/>
      <c r="G125" s="34"/>
    </row>
    <row r="126" spans="6:7" x14ac:dyDescent="0.2">
      <c r="F126" s="33"/>
      <c r="G126" s="34"/>
    </row>
    <row r="127" spans="6:7" x14ac:dyDescent="0.2">
      <c r="F127" s="33"/>
      <c r="G127" s="34"/>
    </row>
    <row r="128" spans="6:7" x14ac:dyDescent="0.2">
      <c r="F128" s="33"/>
      <c r="G128" s="34"/>
    </row>
    <row r="129" spans="5:7" x14ac:dyDescent="0.2">
      <c r="F129" s="33"/>
      <c r="G129" s="34"/>
    </row>
    <row r="130" spans="5:7" x14ac:dyDescent="0.2">
      <c r="F130" s="33"/>
      <c r="G130" s="34"/>
    </row>
    <row r="131" spans="5:7" x14ac:dyDescent="0.2">
      <c r="F131" s="33"/>
      <c r="G131" s="34"/>
    </row>
    <row r="132" spans="5:7" x14ac:dyDescent="0.2">
      <c r="F132" s="33"/>
      <c r="G132" s="34"/>
    </row>
    <row r="133" spans="5:7" x14ac:dyDescent="0.2">
      <c r="F133" s="33"/>
      <c r="G133" s="34"/>
    </row>
    <row r="134" spans="5:7" x14ac:dyDescent="0.2">
      <c r="F134" s="33"/>
      <c r="G134" s="34"/>
    </row>
    <row r="135" spans="5:7" x14ac:dyDescent="0.2">
      <c r="F135" s="33"/>
      <c r="G135" s="34"/>
    </row>
    <row r="136" spans="5:7" x14ac:dyDescent="0.2">
      <c r="F136" s="33"/>
      <c r="G136" s="34"/>
    </row>
    <row r="137" spans="5:7" x14ac:dyDescent="0.2">
      <c r="F137" s="33"/>
      <c r="G137" s="34"/>
    </row>
    <row r="138" spans="5:7" x14ac:dyDescent="0.2">
      <c r="F138" s="33"/>
      <c r="G138" s="34"/>
    </row>
    <row r="139" spans="5:7" x14ac:dyDescent="0.2">
      <c r="F139" s="33"/>
      <c r="G139" s="34"/>
    </row>
    <row r="140" spans="5:7" x14ac:dyDescent="0.2">
      <c r="F140" s="33"/>
      <c r="G140" s="34"/>
    </row>
    <row r="141" spans="5:7" x14ac:dyDescent="0.2">
      <c r="F141" s="33"/>
      <c r="G141" s="34"/>
    </row>
    <row r="142" spans="5:7" x14ac:dyDescent="0.2">
      <c r="E142" s="34"/>
      <c r="G142" s="34"/>
    </row>
    <row r="143" spans="5:7" x14ac:dyDescent="0.2">
      <c r="E143" s="34"/>
      <c r="G143" s="34"/>
    </row>
    <row r="144" spans="5:7" x14ac:dyDescent="0.2">
      <c r="E144" s="34"/>
      <c r="G144" s="34"/>
    </row>
    <row r="145" spans="5:8" x14ac:dyDescent="0.2">
      <c r="E145" s="34"/>
      <c r="G145" s="34"/>
    </row>
    <row r="146" spans="5:8" x14ac:dyDescent="0.2">
      <c r="E146" s="34"/>
      <c r="G146" s="34"/>
    </row>
    <row r="147" spans="5:8" x14ac:dyDescent="0.2">
      <c r="E147" s="34"/>
      <c r="G147" s="34"/>
    </row>
    <row r="148" spans="5:8" x14ac:dyDescent="0.2">
      <c r="E148" s="34"/>
      <c r="G148" s="34"/>
    </row>
    <row r="149" spans="5:8" x14ac:dyDescent="0.2">
      <c r="E149" s="34"/>
      <c r="G149" s="34"/>
    </row>
    <row r="150" spans="5:8" x14ac:dyDescent="0.2">
      <c r="E150" s="34"/>
      <c r="G150" s="34"/>
    </row>
    <row r="151" spans="5:8" x14ac:dyDescent="0.2">
      <c r="E151" s="34"/>
      <c r="G151" s="34"/>
    </row>
    <row r="152" spans="5:8" x14ac:dyDescent="0.2">
      <c r="E152" s="34"/>
      <c r="G152" s="34"/>
    </row>
    <row r="153" spans="5:8" x14ac:dyDescent="0.2">
      <c r="E153" s="34"/>
      <c r="G153" s="34"/>
    </row>
    <row r="154" spans="5:8" x14ac:dyDescent="0.2">
      <c r="E154" s="34"/>
      <c r="G154" s="34"/>
    </row>
    <row r="155" spans="5:8" x14ac:dyDescent="0.2">
      <c r="E155" s="34"/>
      <c r="G155" s="34"/>
    </row>
    <row r="156" spans="5:8" x14ac:dyDescent="0.2">
      <c r="E156" s="34"/>
      <c r="G156" s="34"/>
      <c r="H156" s="22"/>
    </row>
    <row r="157" spans="5:8" x14ac:dyDescent="0.2">
      <c r="H157" s="22"/>
    </row>
    <row r="158" spans="5:8" x14ac:dyDescent="0.2">
      <c r="H158" s="22"/>
    </row>
    <row r="159" spans="5:8" x14ac:dyDescent="0.2">
      <c r="H159" s="22"/>
    </row>
    <row r="160" spans="5:8" x14ac:dyDescent="0.2">
      <c r="H160" s="22"/>
    </row>
    <row r="161" spans="8:8" x14ac:dyDescent="0.2">
      <c r="H161" s="22"/>
    </row>
    <row r="162" spans="8:8" x14ac:dyDescent="0.2">
      <c r="H162" s="22"/>
    </row>
    <row r="163" spans="8:8" x14ac:dyDescent="0.2">
      <c r="H163" s="22"/>
    </row>
    <row r="164" spans="8:8" x14ac:dyDescent="0.2">
      <c r="H164" s="22"/>
    </row>
    <row r="165" spans="8:8" x14ac:dyDescent="0.2">
      <c r="H165" s="22"/>
    </row>
    <row r="166" spans="8:8" x14ac:dyDescent="0.2">
      <c r="H166" s="22"/>
    </row>
    <row r="167" spans="8:8" x14ac:dyDescent="0.2">
      <c r="H167" s="22"/>
    </row>
    <row r="168" spans="8:8" x14ac:dyDescent="0.2">
      <c r="H168" s="22"/>
    </row>
    <row r="169" spans="8:8" x14ac:dyDescent="0.2">
      <c r="H169" s="22"/>
    </row>
    <row r="170" spans="8:8" x14ac:dyDescent="0.2">
      <c r="H170" s="22"/>
    </row>
    <row r="171" spans="8:8" x14ac:dyDescent="0.2">
      <c r="H171" s="22"/>
    </row>
    <row r="172" spans="8:8" x14ac:dyDescent="0.2">
      <c r="H172" s="22"/>
    </row>
    <row r="173" spans="8:8" x14ac:dyDescent="0.2">
      <c r="H173" s="22"/>
    </row>
    <row r="174" spans="8:8" x14ac:dyDescent="0.2">
      <c r="H174" s="22"/>
    </row>
    <row r="175" spans="8:8" x14ac:dyDescent="0.2">
      <c r="H175" s="22"/>
    </row>
    <row r="176" spans="8:8" x14ac:dyDescent="0.2">
      <c r="H176" s="22"/>
    </row>
    <row r="177" spans="8:8" x14ac:dyDescent="0.2">
      <c r="H177" s="22"/>
    </row>
    <row r="178" spans="8:8" x14ac:dyDescent="0.2">
      <c r="H178" s="22"/>
    </row>
    <row r="179" spans="8:8" x14ac:dyDescent="0.2">
      <c r="H179" s="22"/>
    </row>
    <row r="180" spans="8:8" x14ac:dyDescent="0.2">
      <c r="H180" s="22"/>
    </row>
    <row r="181" spans="8:8" x14ac:dyDescent="0.2">
      <c r="H181" s="22"/>
    </row>
    <row r="182" spans="8:8" x14ac:dyDescent="0.2">
      <c r="H182" s="22"/>
    </row>
    <row r="183" spans="8:8" x14ac:dyDescent="0.2">
      <c r="H183" s="22"/>
    </row>
    <row r="184" spans="8:8" x14ac:dyDescent="0.2">
      <c r="H184" s="22"/>
    </row>
    <row r="185" spans="8:8" x14ac:dyDescent="0.2">
      <c r="H185" s="22"/>
    </row>
    <row r="186" spans="8:8" x14ac:dyDescent="0.2">
      <c r="H186" s="22"/>
    </row>
    <row r="187" spans="8:8" x14ac:dyDescent="0.2">
      <c r="H187" s="22"/>
    </row>
    <row r="188" spans="8:8" x14ac:dyDescent="0.2">
      <c r="H188" s="22"/>
    </row>
    <row r="189" spans="8:8" x14ac:dyDescent="0.2">
      <c r="H189" s="22"/>
    </row>
    <row r="190" spans="8:8" x14ac:dyDescent="0.2">
      <c r="H190" s="22"/>
    </row>
    <row r="191" spans="8:8" x14ac:dyDescent="0.2">
      <c r="H191" s="22"/>
    </row>
    <row r="192" spans="8:8" x14ac:dyDescent="0.2">
      <c r="H192" s="22"/>
    </row>
    <row r="193" spans="8:8" x14ac:dyDescent="0.2">
      <c r="H193" s="22"/>
    </row>
    <row r="194" spans="8:8" x14ac:dyDescent="0.2">
      <c r="H194" s="22"/>
    </row>
    <row r="195" spans="8:8" x14ac:dyDescent="0.2">
      <c r="H195" s="22"/>
    </row>
    <row r="196" spans="8:8" x14ac:dyDescent="0.2">
      <c r="H196" s="22"/>
    </row>
    <row r="197" spans="8:8" x14ac:dyDescent="0.2">
      <c r="H197" s="22"/>
    </row>
    <row r="198" spans="8:8" x14ac:dyDescent="0.2">
      <c r="H198" s="22"/>
    </row>
    <row r="199" spans="8:8" x14ac:dyDescent="0.2">
      <c r="H199" s="22"/>
    </row>
    <row r="200" spans="8:8" x14ac:dyDescent="0.2">
      <c r="H200" s="22"/>
    </row>
    <row r="201" spans="8:8" x14ac:dyDescent="0.2">
      <c r="H201" s="22"/>
    </row>
    <row r="202" spans="8:8" x14ac:dyDescent="0.2">
      <c r="H202" s="22"/>
    </row>
    <row r="203" spans="8:8" x14ac:dyDescent="0.2">
      <c r="H203" s="22"/>
    </row>
    <row r="204" spans="8:8" x14ac:dyDescent="0.2">
      <c r="H204" s="22"/>
    </row>
    <row r="205" spans="8:8" x14ac:dyDescent="0.2">
      <c r="H205" s="22"/>
    </row>
    <row r="206" spans="8:8" x14ac:dyDescent="0.2">
      <c r="H206" s="22"/>
    </row>
    <row r="207" spans="8:8" x14ac:dyDescent="0.2">
      <c r="H207" s="22"/>
    </row>
    <row r="208" spans="8:8" x14ac:dyDescent="0.2">
      <c r="H208" s="22"/>
    </row>
    <row r="209" spans="8:8" x14ac:dyDescent="0.2">
      <c r="H209" s="22"/>
    </row>
    <row r="210" spans="8:8" x14ac:dyDescent="0.2">
      <c r="H210" s="22"/>
    </row>
    <row r="211" spans="8:8" x14ac:dyDescent="0.2">
      <c r="H211" s="22"/>
    </row>
    <row r="212" spans="8:8" x14ac:dyDescent="0.2">
      <c r="H212" s="22"/>
    </row>
    <row r="213" spans="8:8" x14ac:dyDescent="0.2">
      <c r="H213" s="22"/>
    </row>
    <row r="214" spans="8:8" x14ac:dyDescent="0.2">
      <c r="H214" s="22"/>
    </row>
    <row r="215" spans="8:8" x14ac:dyDescent="0.2">
      <c r="H215" s="22"/>
    </row>
    <row r="216" spans="8:8" x14ac:dyDescent="0.2">
      <c r="H216" s="22"/>
    </row>
    <row r="217" spans="8:8" x14ac:dyDescent="0.2">
      <c r="H217" s="22"/>
    </row>
    <row r="218" spans="8:8" x14ac:dyDescent="0.2">
      <c r="H218" s="22"/>
    </row>
    <row r="219" spans="8:8" x14ac:dyDescent="0.2">
      <c r="H219" s="22"/>
    </row>
    <row r="220" spans="8:8" x14ac:dyDescent="0.2">
      <c r="H220" s="22"/>
    </row>
    <row r="221" spans="8:8" x14ac:dyDescent="0.2">
      <c r="H221" s="22"/>
    </row>
    <row r="222" spans="8:8" x14ac:dyDescent="0.2">
      <c r="H222" s="22"/>
    </row>
    <row r="223" spans="8:8" x14ac:dyDescent="0.2">
      <c r="H223" s="22"/>
    </row>
    <row r="224" spans="8:8" x14ac:dyDescent="0.2">
      <c r="H224" s="22"/>
    </row>
    <row r="225" spans="8:8" x14ac:dyDescent="0.2">
      <c r="H225" s="22"/>
    </row>
    <row r="226" spans="8:8" x14ac:dyDescent="0.2">
      <c r="H226" s="22"/>
    </row>
    <row r="227" spans="8:8" x14ac:dyDescent="0.2">
      <c r="H227" s="22"/>
    </row>
    <row r="228" spans="8:8" x14ac:dyDescent="0.2">
      <c r="H228" s="22"/>
    </row>
    <row r="229" spans="8:8" x14ac:dyDescent="0.2">
      <c r="H229" s="22"/>
    </row>
    <row r="230" spans="8:8" x14ac:dyDescent="0.2">
      <c r="H230" s="22"/>
    </row>
    <row r="231" spans="8:8" x14ac:dyDescent="0.2">
      <c r="H231" s="22"/>
    </row>
    <row r="232" spans="8:8" x14ac:dyDescent="0.2">
      <c r="H232" s="22"/>
    </row>
    <row r="233" spans="8:8" x14ac:dyDescent="0.2">
      <c r="H233" s="22"/>
    </row>
    <row r="234" spans="8:8" x14ac:dyDescent="0.2">
      <c r="H234" s="22"/>
    </row>
    <row r="235" spans="8:8" x14ac:dyDescent="0.2">
      <c r="H235" s="22"/>
    </row>
    <row r="236" spans="8:8" x14ac:dyDescent="0.2">
      <c r="H236" s="22"/>
    </row>
    <row r="237" spans="8:8" x14ac:dyDescent="0.2">
      <c r="H237" s="22"/>
    </row>
    <row r="238" spans="8:8" x14ac:dyDescent="0.2">
      <c r="H238" s="22"/>
    </row>
    <row r="239" spans="8:8" x14ac:dyDescent="0.2">
      <c r="H239" s="22"/>
    </row>
    <row r="240" spans="8:8" x14ac:dyDescent="0.2">
      <c r="H240" s="22"/>
    </row>
    <row r="241" spans="8:8" x14ac:dyDescent="0.2">
      <c r="H241" s="22"/>
    </row>
    <row r="242" spans="8:8" x14ac:dyDescent="0.2">
      <c r="H242" s="22"/>
    </row>
    <row r="243" spans="8:8" x14ac:dyDescent="0.2">
      <c r="H243" s="22"/>
    </row>
    <row r="244" spans="8:8" x14ac:dyDescent="0.2">
      <c r="H244" s="22"/>
    </row>
    <row r="245" spans="8:8" x14ac:dyDescent="0.2">
      <c r="H245" s="22"/>
    </row>
    <row r="246" spans="8:8" x14ac:dyDescent="0.2">
      <c r="H246" s="22"/>
    </row>
    <row r="247" spans="8:8" x14ac:dyDescent="0.2">
      <c r="H247" s="22"/>
    </row>
    <row r="248" spans="8:8" x14ac:dyDescent="0.2">
      <c r="H248" s="2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Populasi</vt:lpstr>
      <vt:lpstr>Tugas 2</vt:lpstr>
      <vt:lpstr>2 Populasi</vt:lpstr>
      <vt:lpstr>Tugas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FITRI</dc:creator>
  <cp:lastModifiedBy>hp</cp:lastModifiedBy>
  <dcterms:created xsi:type="dcterms:W3CDTF">2016-10-12T09:24:17Z</dcterms:created>
  <dcterms:modified xsi:type="dcterms:W3CDTF">2019-09-24T01:08:48Z</dcterms:modified>
</cp:coreProperties>
</file>