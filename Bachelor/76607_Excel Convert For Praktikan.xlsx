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360" windowWidth="14910" windowHeight="7650"/>
  </bookViews>
  <sheets>
    <sheet name="Hmo dan Ts" sheetId="2" r:id="rId1"/>
    <sheet name="Sheet1" sheetId="4" r:id="rId2"/>
    <sheet name="Sheet2" sheetId="5" r:id="rId3"/>
  </sheets>
  <externalReferences>
    <externalReference r:id="rId4"/>
  </externalReferences>
  <calcPr calcId="144525"/>
</workbook>
</file>

<file path=xl/calcChain.xml><?xml version="1.0" encoding="utf-8"?>
<calcChain xmlns="http://schemas.openxmlformats.org/spreadsheetml/2006/main">
  <c r="I75" i="2" l="1"/>
  <c r="I76" i="2"/>
  <c r="I77" i="2"/>
  <c r="I78" i="2"/>
  <c r="G33" i="2"/>
  <c r="H33" i="2" s="1"/>
  <c r="I33" i="2" s="1"/>
  <c r="G34" i="2"/>
  <c r="H34" i="2" s="1"/>
  <c r="I34" i="2" s="1"/>
  <c r="G35" i="2"/>
  <c r="H35" i="2" s="1"/>
  <c r="I35" i="2" s="1"/>
  <c r="G36" i="2"/>
  <c r="H36" i="2" s="1"/>
  <c r="I36" i="2" s="1"/>
  <c r="G37" i="2"/>
  <c r="H37" i="2" s="1"/>
  <c r="I37" i="2" s="1"/>
  <c r="G38" i="2"/>
  <c r="H38" i="2" s="1"/>
  <c r="I38" i="2" s="1"/>
  <c r="G39" i="2"/>
  <c r="H39" i="2" s="1"/>
  <c r="I39" i="2" s="1"/>
  <c r="G40" i="2"/>
  <c r="H40" i="2" s="1"/>
  <c r="I40" i="2" s="1"/>
  <c r="G41" i="2"/>
  <c r="H41" i="2" s="1"/>
  <c r="I41" i="2" s="1"/>
  <c r="G42" i="2"/>
  <c r="H42" i="2" s="1"/>
  <c r="I42" i="2" s="1"/>
  <c r="G43" i="2"/>
  <c r="H43" i="2" s="1"/>
  <c r="I43" i="2" s="1"/>
  <c r="G44" i="2"/>
  <c r="H44" i="2" s="1"/>
  <c r="I44" i="2" s="1"/>
  <c r="G45" i="2"/>
  <c r="H45" i="2" s="1"/>
  <c r="I45" i="2" s="1"/>
  <c r="G46" i="2"/>
  <c r="H46" i="2" s="1"/>
  <c r="I46" i="2" s="1"/>
  <c r="G47" i="2"/>
  <c r="H47" i="2" s="1"/>
  <c r="I47" i="2" s="1"/>
  <c r="G48" i="2"/>
  <c r="H48" i="2" s="1"/>
  <c r="I48" i="2" s="1"/>
  <c r="G49" i="2"/>
  <c r="H49" i="2" s="1"/>
  <c r="I49" i="2" s="1"/>
  <c r="G50" i="2"/>
  <c r="H50" i="2" s="1"/>
  <c r="I50" i="2" s="1"/>
  <c r="G51" i="2"/>
  <c r="H51" i="2" s="1"/>
  <c r="I51" i="2" s="1"/>
  <c r="G52" i="2"/>
  <c r="H52" i="2" s="1"/>
  <c r="I52" i="2" s="1"/>
  <c r="G53" i="2"/>
  <c r="H53" i="2" s="1"/>
  <c r="I53" i="2" s="1"/>
  <c r="G54" i="2"/>
  <c r="H54" i="2" s="1"/>
  <c r="I54" i="2" s="1"/>
  <c r="G55" i="2"/>
  <c r="H55" i="2" s="1"/>
  <c r="I55" i="2" s="1"/>
  <c r="G56" i="2"/>
  <c r="H56" i="2" s="1"/>
  <c r="I56" i="2" s="1"/>
  <c r="G57" i="2"/>
  <c r="H57" i="2" s="1"/>
  <c r="I57" i="2" s="1"/>
  <c r="G58" i="2"/>
  <c r="H58" i="2" s="1"/>
  <c r="I58" i="2" s="1"/>
  <c r="G59" i="2"/>
  <c r="H59" i="2" s="1"/>
  <c r="I59" i="2" s="1"/>
  <c r="G60" i="2"/>
  <c r="H60" i="2" s="1"/>
  <c r="I60" i="2" s="1"/>
  <c r="G61" i="2"/>
  <c r="H61" i="2" s="1"/>
  <c r="I61" i="2" s="1"/>
  <c r="G62" i="2"/>
  <c r="H62" i="2" s="1"/>
  <c r="I62" i="2" s="1"/>
  <c r="G63" i="2"/>
  <c r="H63" i="2" s="1"/>
  <c r="I63" i="2" s="1"/>
  <c r="G64" i="2"/>
  <c r="H64" i="2" s="1"/>
  <c r="I64" i="2" s="1"/>
  <c r="G65" i="2"/>
  <c r="H65" i="2" s="1"/>
  <c r="I65" i="2" s="1"/>
  <c r="G66" i="2"/>
  <c r="H66" i="2" s="1"/>
  <c r="I66" i="2" s="1"/>
  <c r="G67" i="2"/>
  <c r="H67" i="2" s="1"/>
  <c r="I67" i="2" s="1"/>
  <c r="G68" i="2"/>
  <c r="H68" i="2" s="1"/>
  <c r="I68" i="2" s="1"/>
  <c r="G69" i="2"/>
  <c r="H69" i="2" s="1"/>
  <c r="I69" i="2" s="1"/>
  <c r="G70" i="2"/>
  <c r="H70" i="2" s="1"/>
  <c r="I70" i="2" s="1"/>
  <c r="G71" i="2"/>
  <c r="H71" i="2" s="1"/>
  <c r="I71" i="2" s="1"/>
  <c r="G72" i="2"/>
  <c r="H72" i="2" s="1"/>
  <c r="I72" i="2" s="1"/>
  <c r="G73" i="2"/>
  <c r="H73" i="2" s="1"/>
  <c r="I73" i="2" s="1"/>
  <c r="G74" i="2"/>
  <c r="H74" i="2" s="1"/>
  <c r="I74" i="2" s="1"/>
  <c r="G75" i="2"/>
  <c r="G76" i="2"/>
  <c r="G77" i="2"/>
  <c r="G78" i="2"/>
  <c r="G79" i="2"/>
  <c r="H79" i="2" s="1"/>
  <c r="I79" i="2" s="1"/>
  <c r="G80" i="2"/>
  <c r="H80" i="2" s="1"/>
  <c r="I80" i="2" s="1"/>
  <c r="G81" i="2"/>
  <c r="H81" i="2" s="1"/>
  <c r="I81" i="2" s="1"/>
  <c r="G82" i="2"/>
  <c r="H82" i="2" s="1"/>
  <c r="I82" i="2" s="1"/>
  <c r="G83" i="2"/>
  <c r="H83" i="2" s="1"/>
  <c r="I83" i="2" s="1"/>
  <c r="G84" i="2"/>
  <c r="H84" i="2" s="1"/>
  <c r="I84" i="2" s="1"/>
  <c r="G85" i="2"/>
  <c r="H85" i="2" s="1"/>
  <c r="I85" i="2" s="1"/>
  <c r="G86" i="2"/>
  <c r="H86" i="2" s="1"/>
  <c r="I86" i="2" s="1"/>
  <c r="G87" i="2"/>
  <c r="H87" i="2" s="1"/>
  <c r="I87" i="2" s="1"/>
  <c r="G88" i="2"/>
  <c r="H88" i="2" s="1"/>
  <c r="I88" i="2" s="1"/>
  <c r="G89" i="2"/>
  <c r="H89" i="2" s="1"/>
  <c r="I89" i="2" s="1"/>
  <c r="G90" i="2"/>
  <c r="H90" i="2" s="1"/>
  <c r="I90" i="2" s="1"/>
  <c r="G91" i="2"/>
  <c r="H91" i="2" s="1"/>
  <c r="I91" i="2" s="1"/>
  <c r="G92" i="2"/>
  <c r="H92" i="2" s="1"/>
  <c r="I92" i="2" s="1"/>
  <c r="G93" i="2"/>
  <c r="H93" i="2" s="1"/>
  <c r="I93" i="2" s="1"/>
  <c r="G94" i="2"/>
  <c r="H94" i="2" s="1"/>
  <c r="I94" i="2" s="1"/>
  <c r="G95" i="2"/>
  <c r="H95" i="2" s="1"/>
  <c r="I95" i="2" s="1"/>
  <c r="G96" i="2"/>
  <c r="H96" i="2" s="1"/>
  <c r="I96" i="2" s="1"/>
  <c r="G97" i="2"/>
  <c r="H97" i="2" s="1"/>
  <c r="I97" i="2" s="1"/>
  <c r="G98" i="2"/>
  <c r="H98" i="2" s="1"/>
  <c r="I98" i="2" s="1"/>
  <c r="G99" i="2"/>
  <c r="H99" i="2" s="1"/>
  <c r="I99" i="2" s="1"/>
  <c r="G100" i="2"/>
  <c r="H100" i="2" s="1"/>
  <c r="I100" i="2" s="1"/>
  <c r="G101" i="2"/>
  <c r="H101" i="2" s="1"/>
  <c r="I101" i="2" s="1"/>
  <c r="G102" i="2"/>
  <c r="H102" i="2" s="1"/>
  <c r="I102" i="2" s="1"/>
  <c r="G103" i="2"/>
  <c r="H103" i="2" s="1"/>
  <c r="I103" i="2" s="1"/>
  <c r="G104" i="2"/>
  <c r="H104" i="2" s="1"/>
  <c r="I104" i="2" s="1"/>
  <c r="G105" i="2"/>
  <c r="H105" i="2" s="1"/>
  <c r="I105" i="2" s="1"/>
  <c r="G106" i="2"/>
  <c r="H106" i="2" s="1"/>
  <c r="I106" i="2" s="1"/>
  <c r="G107" i="2"/>
  <c r="H107" i="2" s="1"/>
  <c r="I107" i="2" s="1"/>
  <c r="G108" i="2"/>
  <c r="H108" i="2" s="1"/>
  <c r="I108" i="2" s="1"/>
  <c r="G109" i="2"/>
  <c r="H109" i="2" s="1"/>
  <c r="I109" i="2" s="1"/>
  <c r="G110" i="2"/>
  <c r="H110" i="2" s="1"/>
  <c r="I110" i="2" s="1"/>
  <c r="G111" i="2"/>
  <c r="H111" i="2" s="1"/>
  <c r="I111" i="2" s="1"/>
  <c r="G112" i="2"/>
  <c r="H112" i="2" s="1"/>
  <c r="I112" i="2" s="1"/>
  <c r="G113" i="2"/>
  <c r="H113" i="2" s="1"/>
  <c r="I113" i="2" s="1"/>
  <c r="G114" i="2"/>
  <c r="H114" i="2" s="1"/>
  <c r="I114" i="2" s="1"/>
  <c r="G115" i="2"/>
  <c r="H115" i="2" s="1"/>
  <c r="I115" i="2" s="1"/>
  <c r="G116" i="2"/>
  <c r="H116" i="2" s="1"/>
  <c r="I116" i="2" s="1"/>
  <c r="G117" i="2"/>
  <c r="H117" i="2" s="1"/>
  <c r="I117" i="2" s="1"/>
  <c r="G118" i="2"/>
  <c r="H118" i="2" s="1"/>
  <c r="I118" i="2" s="1"/>
  <c r="G119" i="2"/>
  <c r="H119" i="2" s="1"/>
  <c r="I119" i="2" s="1"/>
  <c r="G120" i="2"/>
  <c r="H120" i="2" s="1"/>
  <c r="I120" i="2" s="1"/>
  <c r="G121" i="2"/>
  <c r="H121" i="2" s="1"/>
  <c r="I121" i="2" s="1"/>
  <c r="G122" i="2"/>
  <c r="H122" i="2" s="1"/>
  <c r="I122" i="2" s="1"/>
  <c r="G123" i="2"/>
  <c r="H123" i="2" s="1"/>
  <c r="I123" i="2" s="1"/>
  <c r="G124" i="2"/>
  <c r="H124" i="2" s="1"/>
  <c r="I124" i="2" s="1"/>
  <c r="G125" i="2"/>
  <c r="H125" i="2" s="1"/>
  <c r="I125" i="2" s="1"/>
  <c r="G126" i="2"/>
  <c r="H126" i="2" s="1"/>
  <c r="I126" i="2" s="1"/>
  <c r="F41" i="2"/>
  <c r="J41" i="2" s="1"/>
  <c r="F42" i="2"/>
  <c r="J42" i="2" s="1"/>
  <c r="F43" i="2"/>
  <c r="J43" i="2" s="1"/>
  <c r="F44" i="2"/>
  <c r="J44" i="2" s="1"/>
  <c r="F45" i="2"/>
  <c r="J45" i="2" s="1"/>
  <c r="F46" i="2"/>
  <c r="J46" i="2" s="1"/>
  <c r="F47" i="2"/>
  <c r="J47" i="2" s="1"/>
  <c r="F48" i="2"/>
  <c r="J48" i="2" s="1"/>
  <c r="F49" i="2"/>
  <c r="J49" i="2" s="1"/>
  <c r="F50" i="2"/>
  <c r="J50" i="2" s="1"/>
  <c r="F51" i="2"/>
  <c r="J51" i="2" s="1"/>
  <c r="F52" i="2"/>
  <c r="J52" i="2" s="1"/>
  <c r="F53" i="2"/>
  <c r="J53" i="2" s="1"/>
  <c r="F54" i="2"/>
  <c r="J54" i="2" s="1"/>
  <c r="F55" i="2"/>
  <c r="J55" i="2" s="1"/>
  <c r="F56" i="2"/>
  <c r="J56" i="2" s="1"/>
  <c r="F57" i="2"/>
  <c r="J57" i="2" s="1"/>
  <c r="F58" i="2"/>
  <c r="J58" i="2" s="1"/>
  <c r="F59" i="2"/>
  <c r="J59" i="2" s="1"/>
  <c r="F60" i="2"/>
  <c r="J60" i="2" s="1"/>
  <c r="F61" i="2"/>
  <c r="J61" i="2" s="1"/>
  <c r="F62" i="2"/>
  <c r="J62" i="2" s="1"/>
  <c r="F63" i="2"/>
  <c r="J63" i="2" s="1"/>
  <c r="F64" i="2"/>
  <c r="J64" i="2" s="1"/>
  <c r="F65" i="2"/>
  <c r="J65" i="2" s="1"/>
  <c r="F66" i="2"/>
  <c r="J66" i="2" s="1"/>
  <c r="F67" i="2"/>
  <c r="J67" i="2" s="1"/>
  <c r="F68" i="2"/>
  <c r="J68" i="2" s="1"/>
  <c r="F69" i="2"/>
  <c r="J69" i="2" s="1"/>
  <c r="F70" i="2"/>
  <c r="J70" i="2" s="1"/>
  <c r="F71" i="2"/>
  <c r="J71" i="2" s="1"/>
  <c r="F72" i="2"/>
  <c r="J72" i="2" s="1"/>
  <c r="F73" i="2"/>
  <c r="J73" i="2" s="1"/>
  <c r="F74" i="2"/>
  <c r="J74" i="2" s="1"/>
  <c r="F75" i="2"/>
  <c r="J75" i="2" s="1"/>
  <c r="F76" i="2"/>
  <c r="J76" i="2" s="1"/>
  <c r="F77" i="2"/>
  <c r="J77" i="2" s="1"/>
  <c r="F78" i="2"/>
  <c r="J78" i="2" s="1"/>
  <c r="F79" i="2"/>
  <c r="J79" i="2" s="1"/>
  <c r="F80" i="2"/>
  <c r="J80" i="2" s="1"/>
  <c r="F81" i="2"/>
  <c r="J81" i="2" s="1"/>
  <c r="F82" i="2"/>
  <c r="J82" i="2" s="1"/>
  <c r="F83" i="2"/>
  <c r="J83" i="2" s="1"/>
  <c r="F84" i="2"/>
  <c r="J84" i="2" s="1"/>
  <c r="F85" i="2"/>
  <c r="J85" i="2" s="1"/>
  <c r="F86" i="2"/>
  <c r="J86" i="2" s="1"/>
  <c r="F87" i="2"/>
  <c r="J87" i="2" s="1"/>
  <c r="F88" i="2"/>
  <c r="J88" i="2" s="1"/>
  <c r="F89" i="2"/>
  <c r="J89" i="2" s="1"/>
  <c r="F90" i="2"/>
  <c r="J90" i="2" s="1"/>
  <c r="F91" i="2"/>
  <c r="J91" i="2" s="1"/>
  <c r="F92" i="2"/>
  <c r="J92" i="2" s="1"/>
  <c r="F93" i="2"/>
  <c r="J93" i="2" s="1"/>
  <c r="F94" i="2"/>
  <c r="J94" i="2" s="1"/>
  <c r="F95" i="2"/>
  <c r="J95" i="2" s="1"/>
  <c r="F96" i="2"/>
  <c r="J96" i="2" s="1"/>
  <c r="F97" i="2"/>
  <c r="J97" i="2" s="1"/>
  <c r="F98" i="2"/>
  <c r="J98" i="2" s="1"/>
  <c r="F99" i="2"/>
  <c r="J99" i="2" s="1"/>
  <c r="F100" i="2"/>
  <c r="J100" i="2" s="1"/>
  <c r="F101" i="2"/>
  <c r="J101" i="2" s="1"/>
  <c r="F102" i="2"/>
  <c r="J102" i="2" s="1"/>
  <c r="F103" i="2"/>
  <c r="J103" i="2" s="1"/>
  <c r="F104" i="2"/>
  <c r="J104" i="2" s="1"/>
  <c r="F105" i="2"/>
  <c r="J105" i="2" s="1"/>
  <c r="F106" i="2"/>
  <c r="J106" i="2" s="1"/>
  <c r="F107" i="2"/>
  <c r="J107" i="2" s="1"/>
  <c r="F108" i="2"/>
  <c r="J108" i="2" s="1"/>
  <c r="F109" i="2"/>
  <c r="J109" i="2" s="1"/>
  <c r="F110" i="2"/>
  <c r="J110" i="2" s="1"/>
  <c r="F111" i="2"/>
  <c r="J111" i="2" s="1"/>
  <c r="F112" i="2"/>
  <c r="J112" i="2" s="1"/>
  <c r="F113" i="2"/>
  <c r="J113" i="2" s="1"/>
  <c r="F114" i="2"/>
  <c r="J114" i="2" s="1"/>
  <c r="F115" i="2"/>
  <c r="J115" i="2" s="1"/>
  <c r="F116" i="2"/>
  <c r="J116" i="2" s="1"/>
  <c r="F117" i="2"/>
  <c r="J117" i="2" s="1"/>
  <c r="F118" i="2"/>
  <c r="J118" i="2" s="1"/>
  <c r="F119" i="2"/>
  <c r="J119" i="2" s="1"/>
  <c r="F120" i="2"/>
  <c r="J120" i="2" s="1"/>
  <c r="F121" i="2"/>
  <c r="J121" i="2" s="1"/>
  <c r="F122" i="2"/>
  <c r="J122" i="2" s="1"/>
  <c r="F123" i="2"/>
  <c r="J123" i="2" s="1"/>
  <c r="F124" i="2"/>
  <c r="J124" i="2" s="1"/>
  <c r="F125" i="2"/>
  <c r="J125" i="2" s="1"/>
  <c r="F126" i="2"/>
  <c r="J126" i="2" s="1"/>
  <c r="F33" i="2"/>
  <c r="J33" i="2" s="1"/>
  <c r="F34" i="2"/>
  <c r="J34" i="2" s="1"/>
  <c r="F35" i="2"/>
  <c r="J35" i="2" s="1"/>
  <c r="F36" i="2"/>
  <c r="J36" i="2" s="1"/>
  <c r="F37" i="2"/>
  <c r="J37" i="2" s="1"/>
  <c r="F38" i="2"/>
  <c r="J38" i="2" s="1"/>
  <c r="F39" i="2"/>
  <c r="J39" i="2" s="1"/>
  <c r="F40" i="2"/>
  <c r="J40" i="2" s="1"/>
  <c r="G3" i="2" l="1"/>
  <c r="H3" i="2" s="1"/>
  <c r="I3" i="2" s="1"/>
  <c r="F4" i="2"/>
  <c r="J4" i="2" s="1"/>
  <c r="G4" i="2"/>
  <c r="H4" i="2" s="1"/>
  <c r="I4" i="2" s="1"/>
  <c r="F5" i="2"/>
  <c r="J5" i="2" s="1"/>
  <c r="G5" i="2"/>
  <c r="H5" i="2" s="1"/>
  <c r="I5" i="2" s="1"/>
  <c r="F6" i="2"/>
  <c r="J6" i="2" s="1"/>
  <c r="G6" i="2"/>
  <c r="H6" i="2" s="1"/>
  <c r="I6" i="2" s="1"/>
  <c r="F7" i="2"/>
  <c r="J7" i="2" s="1"/>
  <c r="G7" i="2"/>
  <c r="H7" i="2" s="1"/>
  <c r="I7" i="2" s="1"/>
  <c r="F8" i="2"/>
  <c r="J8" i="2" s="1"/>
  <c r="G8" i="2"/>
  <c r="H8" i="2" s="1"/>
  <c r="I8" i="2" s="1"/>
  <c r="F9" i="2"/>
  <c r="J9" i="2" s="1"/>
  <c r="G9" i="2"/>
  <c r="H9" i="2" s="1"/>
  <c r="I9" i="2" s="1"/>
  <c r="F10" i="2"/>
  <c r="J10" i="2" s="1"/>
  <c r="G10" i="2"/>
  <c r="H10" i="2" s="1"/>
  <c r="I10" i="2" s="1"/>
  <c r="F11" i="2"/>
  <c r="J11" i="2" s="1"/>
  <c r="G11" i="2"/>
  <c r="H11" i="2" s="1"/>
  <c r="I11" i="2" s="1"/>
  <c r="F12" i="2"/>
  <c r="J12" i="2" s="1"/>
  <c r="G12" i="2"/>
  <c r="H12" i="2" s="1"/>
  <c r="I12" i="2" s="1"/>
  <c r="F13" i="2"/>
  <c r="J13" i="2" s="1"/>
  <c r="G13" i="2"/>
  <c r="H13" i="2" s="1"/>
  <c r="I13" i="2" s="1"/>
  <c r="F14" i="2"/>
  <c r="J14" i="2" s="1"/>
  <c r="G14" i="2"/>
  <c r="H14" i="2" s="1"/>
  <c r="I14" i="2" s="1"/>
  <c r="F15" i="2"/>
  <c r="J15" i="2" s="1"/>
  <c r="G15" i="2"/>
  <c r="H15" i="2" s="1"/>
  <c r="I15" i="2" s="1"/>
  <c r="F16" i="2"/>
  <c r="J16" i="2" s="1"/>
  <c r="G16" i="2"/>
  <c r="H16" i="2" s="1"/>
  <c r="I16" i="2" s="1"/>
  <c r="F17" i="2"/>
  <c r="J17" i="2" s="1"/>
  <c r="G17" i="2"/>
  <c r="H17" i="2" s="1"/>
  <c r="I17" i="2" s="1"/>
  <c r="F18" i="2"/>
  <c r="J18" i="2" s="1"/>
  <c r="G18" i="2"/>
  <c r="H18" i="2" s="1"/>
  <c r="I18" i="2" s="1"/>
  <c r="F19" i="2"/>
  <c r="J19" i="2" s="1"/>
  <c r="G19" i="2"/>
  <c r="H19" i="2" s="1"/>
  <c r="I19" i="2" s="1"/>
  <c r="F20" i="2"/>
  <c r="J20" i="2" s="1"/>
  <c r="G20" i="2"/>
  <c r="H20" i="2" s="1"/>
  <c r="I20" i="2" s="1"/>
  <c r="F21" i="2"/>
  <c r="J21" i="2" s="1"/>
  <c r="G21" i="2"/>
  <c r="H21" i="2" s="1"/>
  <c r="I21" i="2" s="1"/>
  <c r="F22" i="2"/>
  <c r="J22" i="2" s="1"/>
  <c r="G22" i="2"/>
  <c r="H22" i="2" s="1"/>
  <c r="I22" i="2" s="1"/>
  <c r="F23" i="2"/>
  <c r="J23" i="2" s="1"/>
  <c r="G23" i="2"/>
  <c r="H23" i="2" s="1"/>
  <c r="I23" i="2" s="1"/>
  <c r="F24" i="2"/>
  <c r="J24" i="2" s="1"/>
  <c r="G24" i="2"/>
  <c r="H24" i="2" s="1"/>
  <c r="I24" i="2" s="1"/>
  <c r="F25" i="2"/>
  <c r="J25" i="2" s="1"/>
  <c r="G25" i="2"/>
  <c r="H25" i="2" s="1"/>
  <c r="I25" i="2" s="1"/>
  <c r="F26" i="2"/>
  <c r="J26" i="2" s="1"/>
  <c r="G26" i="2"/>
  <c r="H26" i="2" s="1"/>
  <c r="I26" i="2" s="1"/>
  <c r="F27" i="2"/>
  <c r="J27" i="2" s="1"/>
  <c r="G27" i="2"/>
  <c r="H27" i="2" s="1"/>
  <c r="I27" i="2" s="1"/>
  <c r="F28" i="2"/>
  <c r="J28" i="2" s="1"/>
  <c r="G28" i="2"/>
  <c r="H28" i="2" s="1"/>
  <c r="I28" i="2" s="1"/>
  <c r="F29" i="2"/>
  <c r="J29" i="2" s="1"/>
  <c r="G29" i="2"/>
  <c r="H29" i="2" s="1"/>
  <c r="I29" i="2" s="1"/>
  <c r="F30" i="2"/>
  <c r="J30" i="2" s="1"/>
  <c r="G30" i="2"/>
  <c r="H30" i="2" s="1"/>
  <c r="I30" i="2" s="1"/>
  <c r="F31" i="2"/>
  <c r="J31" i="2" s="1"/>
  <c r="G31" i="2"/>
  <c r="H31" i="2" s="1"/>
  <c r="I31" i="2" s="1"/>
  <c r="F32" i="2"/>
  <c r="J32" i="2" s="1"/>
  <c r="G32" i="2"/>
  <c r="H32" i="2" s="1"/>
  <c r="I32" i="2" s="1"/>
  <c r="F3" i="2"/>
  <c r="J3" i="2" s="1"/>
</calcChain>
</file>

<file path=xl/sharedStrings.xml><?xml version="1.0" encoding="utf-8"?>
<sst xmlns="http://schemas.openxmlformats.org/spreadsheetml/2006/main" count="152" uniqueCount="150">
  <si>
    <t>Waktu</t>
  </si>
  <si>
    <t>x</t>
  </si>
  <si>
    <t>y</t>
  </si>
  <si>
    <t>u</t>
  </si>
  <si>
    <t>v</t>
  </si>
  <si>
    <t>Arah</t>
  </si>
  <si>
    <t>Kuadran</t>
  </si>
  <si>
    <t>Kecepatan (m/s)</t>
  </si>
  <si>
    <t>Mata Angin</t>
  </si>
  <si>
    <t>Derajat</t>
  </si>
  <si>
    <t>Utara</t>
  </si>
  <si>
    <r>
      <t>337.5</t>
    </r>
    <r>
      <rPr>
        <vertAlign val="superscript"/>
        <sz val="11"/>
        <color rgb="FF000000"/>
        <rFont val="Arial"/>
        <family val="2"/>
      </rPr>
      <t xml:space="preserve">0 </t>
    </r>
    <r>
      <rPr>
        <sz val="11"/>
        <color rgb="FF000000"/>
        <rFont val="Arial"/>
        <family val="2"/>
      </rPr>
      <t>- 22.5</t>
    </r>
    <r>
      <rPr>
        <vertAlign val="superscript"/>
        <sz val="11"/>
        <color rgb="FF000000"/>
        <rFont val="Arial"/>
        <family val="2"/>
      </rPr>
      <t>0</t>
    </r>
  </si>
  <si>
    <t>Timur Laut</t>
  </si>
  <si>
    <r>
      <t>22.5</t>
    </r>
    <r>
      <rPr>
        <vertAlign val="superscript"/>
        <sz val="11"/>
        <color rgb="FF000000"/>
        <rFont val="Arial"/>
        <family val="2"/>
      </rPr>
      <t>0</t>
    </r>
    <r>
      <rPr>
        <sz val="11"/>
        <color rgb="FF000000"/>
        <rFont val="Arial"/>
        <family val="2"/>
      </rPr>
      <t xml:space="preserve"> - 67.5</t>
    </r>
    <r>
      <rPr>
        <vertAlign val="superscript"/>
        <sz val="11"/>
        <color rgb="FF000000"/>
        <rFont val="Arial"/>
        <family val="2"/>
      </rPr>
      <t>0</t>
    </r>
  </si>
  <si>
    <t>Timur</t>
  </si>
  <si>
    <r>
      <t>67.5</t>
    </r>
    <r>
      <rPr>
        <vertAlign val="superscript"/>
        <sz val="11"/>
        <color rgb="FF000000"/>
        <rFont val="Arial"/>
        <family val="2"/>
      </rPr>
      <t>0</t>
    </r>
    <r>
      <rPr>
        <sz val="11"/>
        <color rgb="FF000000"/>
        <rFont val="Arial"/>
        <family val="2"/>
      </rPr>
      <t xml:space="preserve"> - 112.5</t>
    </r>
    <r>
      <rPr>
        <vertAlign val="superscript"/>
        <sz val="11"/>
        <color rgb="FF000000"/>
        <rFont val="Arial"/>
        <family val="2"/>
      </rPr>
      <t>0</t>
    </r>
  </si>
  <si>
    <t>Tenggara</t>
  </si>
  <si>
    <r>
      <t>112.5</t>
    </r>
    <r>
      <rPr>
        <vertAlign val="superscript"/>
        <sz val="11"/>
        <color rgb="FF000000"/>
        <rFont val="Arial"/>
        <family val="2"/>
      </rPr>
      <t>0</t>
    </r>
    <r>
      <rPr>
        <sz val="11"/>
        <color rgb="FF000000"/>
        <rFont val="Arial"/>
        <family val="2"/>
      </rPr>
      <t xml:space="preserve"> - 157.5</t>
    </r>
    <r>
      <rPr>
        <vertAlign val="superscript"/>
        <sz val="11"/>
        <color rgb="FF000000"/>
        <rFont val="Arial"/>
        <family val="2"/>
      </rPr>
      <t>0</t>
    </r>
  </si>
  <si>
    <t>Selatan</t>
  </si>
  <si>
    <r>
      <t>157.5 - 202.5</t>
    </r>
    <r>
      <rPr>
        <vertAlign val="superscript"/>
        <sz val="11"/>
        <color rgb="FF000000"/>
        <rFont val="Arial"/>
        <family val="2"/>
      </rPr>
      <t>0</t>
    </r>
  </si>
  <si>
    <t>Barat Daya</t>
  </si>
  <si>
    <r>
      <t>202.5</t>
    </r>
    <r>
      <rPr>
        <vertAlign val="superscript"/>
        <sz val="11"/>
        <color rgb="FF000000"/>
        <rFont val="Arial"/>
        <family val="2"/>
      </rPr>
      <t>0</t>
    </r>
    <r>
      <rPr>
        <sz val="11"/>
        <color rgb="FF000000"/>
        <rFont val="Arial"/>
        <family val="2"/>
      </rPr>
      <t xml:space="preserve"> - 247.5</t>
    </r>
    <r>
      <rPr>
        <vertAlign val="superscript"/>
        <sz val="11"/>
        <color rgb="FF000000"/>
        <rFont val="Arial"/>
        <family val="2"/>
      </rPr>
      <t>0</t>
    </r>
  </si>
  <si>
    <r>
      <t>247.5</t>
    </r>
    <r>
      <rPr>
        <vertAlign val="superscript"/>
        <sz val="11"/>
        <color rgb="FF000000"/>
        <rFont val="Arial"/>
        <family val="2"/>
      </rPr>
      <t>0</t>
    </r>
    <r>
      <rPr>
        <sz val="11"/>
        <color rgb="FF000000"/>
        <rFont val="Arial"/>
        <family val="2"/>
      </rPr>
      <t xml:space="preserve"> - 292.5</t>
    </r>
    <r>
      <rPr>
        <vertAlign val="superscript"/>
        <sz val="11"/>
        <color rgb="FF000000"/>
        <rFont val="Arial"/>
        <family val="2"/>
      </rPr>
      <t>0</t>
    </r>
  </si>
  <si>
    <t>Barat Laut</t>
  </si>
  <si>
    <r>
      <t>292.5</t>
    </r>
    <r>
      <rPr>
        <vertAlign val="superscript"/>
        <sz val="11"/>
        <color rgb="FF000000"/>
        <rFont val="Arial"/>
        <family val="2"/>
      </rPr>
      <t>0</t>
    </r>
    <r>
      <rPr>
        <sz val="11"/>
        <color rgb="FF000000"/>
        <rFont val="Arial"/>
        <family val="2"/>
      </rPr>
      <t xml:space="preserve"> - 337.5</t>
    </r>
    <r>
      <rPr>
        <vertAlign val="superscript"/>
        <sz val="11"/>
        <color rgb="FF000000"/>
        <rFont val="Arial"/>
        <family val="2"/>
      </rPr>
      <t>0</t>
    </r>
  </si>
  <si>
    <t>Kecepatan ( knots )</t>
  </si>
  <si>
    <t>2015-03-01T00:00:00.000</t>
  </si>
  <si>
    <t>2015-03-01T06:00:00.000</t>
  </si>
  <si>
    <t>2015-03-01T12:00:00.000</t>
  </si>
  <si>
    <t>2015-03-01T18:00:00.000</t>
  </si>
  <si>
    <t>2015-03-02T00:00:00.000</t>
  </si>
  <si>
    <t>2015-03-02T06:00:00.000</t>
  </si>
  <si>
    <t>2015-03-02T12:00:00.000</t>
  </si>
  <si>
    <t>2015-03-02T18:00:00.000</t>
  </si>
  <si>
    <t>2015-03-03T00:00:00.000</t>
  </si>
  <si>
    <t>2015-03-03T06:00:00.000</t>
  </si>
  <si>
    <t>2015-03-03T12:00:00.000</t>
  </si>
  <si>
    <t>2015-03-03T18:00:00.000</t>
  </si>
  <si>
    <t>2015-03-04T00:00:00.000</t>
  </si>
  <si>
    <t>2015-03-04T06:00:00.000</t>
  </si>
  <si>
    <t>2015-03-04T12:00:00.000</t>
  </si>
  <si>
    <t>2015-03-04T18:00:00.000</t>
  </si>
  <si>
    <t>2015-03-05T00:00:00.000</t>
  </si>
  <si>
    <t>2015-03-05T06:00:00.000</t>
  </si>
  <si>
    <t>2015-03-05T12:00:00.000</t>
  </si>
  <si>
    <t>2015-03-05T18:00:00.000</t>
  </si>
  <si>
    <t>2015-03-06T00:00:00.000</t>
  </si>
  <si>
    <t>2015-03-06T06:00:00.000</t>
  </si>
  <si>
    <t>2015-03-06T12:00:00.000</t>
  </si>
  <si>
    <t>2015-03-06T18:00:00.000</t>
  </si>
  <si>
    <t>2015-03-07T00:00:00.000</t>
  </si>
  <si>
    <t>2015-03-07T06:00:00.000</t>
  </si>
  <si>
    <t>2015-03-07T12:00:00.000</t>
  </si>
  <si>
    <t>2015-03-07T18:00:00.000</t>
  </si>
  <si>
    <t>2015-03-08T00:00:00.000</t>
  </si>
  <si>
    <t>2015-03-08T06:00:00.000</t>
  </si>
  <si>
    <t>2015-03-08T12:00:00.000</t>
  </si>
  <si>
    <t>2015-03-08T18:00:00.000</t>
  </si>
  <si>
    <t>2015-03-09T00:00:00.000</t>
  </si>
  <si>
    <t>2015-03-09T06:00:00.000</t>
  </si>
  <si>
    <t>2015-03-09T12:00:00.000</t>
  </si>
  <si>
    <t>2015-03-09T18:00:00.000</t>
  </si>
  <si>
    <t>2015-03-10T00:00:00.000</t>
  </si>
  <si>
    <t>2015-03-10T06:00:00.000</t>
  </si>
  <si>
    <t>2015-03-10T12:00:00.000</t>
  </si>
  <si>
    <t>2015-03-10T18:00:00.000</t>
  </si>
  <si>
    <t>2015-03-11T00:00:00.000</t>
  </si>
  <si>
    <t>2015-03-11T06:00:00.000</t>
  </si>
  <si>
    <t>2015-03-11T12:00:00.000</t>
  </si>
  <si>
    <t>2015-03-11T18:00:00.000</t>
  </si>
  <si>
    <t>2015-03-12T00:00:00.000</t>
  </si>
  <si>
    <t>2015-03-12T06:00:00.000</t>
  </si>
  <si>
    <t>2015-03-12T12:00:00.000</t>
  </si>
  <si>
    <t>2015-03-12T18:00:00.000</t>
  </si>
  <si>
    <t>2015-03-13T00:00:00.000</t>
  </si>
  <si>
    <t>2015-03-13T06:00:00.000</t>
  </si>
  <si>
    <t>2015-03-13T12:00:00.000</t>
  </si>
  <si>
    <t>2015-03-13T18:00:00.000</t>
  </si>
  <si>
    <t>2015-03-14T00:00:00.000</t>
  </si>
  <si>
    <t>2015-03-14T06:00:00.000</t>
  </si>
  <si>
    <t>2015-03-14T12:00:00.000</t>
  </si>
  <si>
    <t>2015-03-14T18:00:00.000</t>
  </si>
  <si>
    <t>2015-03-15T00:00:00.000</t>
  </si>
  <si>
    <t>2015-03-15T06:00:00.000</t>
  </si>
  <si>
    <t>2015-03-15T12:00:00.000</t>
  </si>
  <si>
    <t>2015-03-15T18:00:00.000</t>
  </si>
  <si>
    <t>2015-03-16T00:00:00.000</t>
  </si>
  <si>
    <t>2015-03-16T06:00:00.000</t>
  </si>
  <si>
    <t>2015-03-16T12:00:00.000</t>
  </si>
  <si>
    <t>2015-03-16T18:00:00.000</t>
  </si>
  <si>
    <t>2015-03-17T00:00:00.000</t>
  </si>
  <si>
    <t>2015-03-17T06:00:00.000</t>
  </si>
  <si>
    <t>2015-03-17T12:00:00.000</t>
  </si>
  <si>
    <t>2015-03-17T18:00:00.000</t>
  </si>
  <si>
    <t>2015-03-18T00:00:00.000</t>
  </si>
  <si>
    <t>2015-03-18T06:00:00.000</t>
  </si>
  <si>
    <t>2015-03-18T12:00:00.000</t>
  </si>
  <si>
    <t>2015-03-18T18:00:00.000</t>
  </si>
  <si>
    <t>2015-03-19T00:00:00.000</t>
  </si>
  <si>
    <t>2015-03-19T06:00:00.000</t>
  </si>
  <si>
    <t>2015-03-19T12:00:00.000</t>
  </si>
  <si>
    <t>2015-03-19T18:00:00.000</t>
  </si>
  <si>
    <t>2015-03-20T00:00:00.000</t>
  </si>
  <si>
    <t>2015-03-20T06:00:00.000</t>
  </si>
  <si>
    <t>2015-03-20T12:00:00.000</t>
  </si>
  <si>
    <t>2015-03-20T18:00:00.000</t>
  </si>
  <si>
    <t>2015-03-21T00:00:00.000</t>
  </si>
  <si>
    <t>2015-03-21T06:00:00.000</t>
  </si>
  <si>
    <t>2015-03-21T12:00:00.000</t>
  </si>
  <si>
    <t>2015-03-21T18:00:00.000</t>
  </si>
  <si>
    <t>2015-03-22T00:00:00.000</t>
  </si>
  <si>
    <t>2015-03-22T06:00:00.000</t>
  </si>
  <si>
    <t>2015-03-22T12:00:00.000</t>
  </si>
  <si>
    <t>2015-03-22T18:00:00.000</t>
  </si>
  <si>
    <t>2015-03-23T00:00:00.000</t>
  </si>
  <si>
    <t>2015-03-23T06:00:00.000</t>
  </si>
  <si>
    <t>2015-03-23T12:00:00.000</t>
  </si>
  <si>
    <t>2015-03-23T18:00:00.000</t>
  </si>
  <si>
    <t>2015-03-24T00:00:00.000</t>
  </si>
  <si>
    <t>2015-03-24T06:00:00.000</t>
  </si>
  <si>
    <t>2015-03-24T12:00:00.000</t>
  </si>
  <si>
    <t>2015-03-24T18:00:00.000</t>
  </si>
  <si>
    <t>2015-03-25T00:00:00.000</t>
  </si>
  <si>
    <t>2015-03-25T06:00:00.000</t>
  </si>
  <si>
    <t>2015-03-25T12:00:00.000</t>
  </si>
  <si>
    <t>2015-03-25T18:00:00.000</t>
  </si>
  <si>
    <t>2015-03-26T00:00:00.000</t>
  </si>
  <si>
    <t>2015-03-26T06:00:00.000</t>
  </si>
  <si>
    <t>2015-03-26T12:00:00.000</t>
  </si>
  <si>
    <t>2015-03-26T18:00:00.000</t>
  </si>
  <si>
    <t>2015-03-27T00:00:00.000</t>
  </si>
  <si>
    <t>2015-03-27T06:00:00.000</t>
  </si>
  <si>
    <t>2015-03-27T12:00:00.000</t>
  </si>
  <si>
    <t>2015-03-27T18:00:00.000</t>
  </si>
  <si>
    <t>2015-03-28T00:00:00.000</t>
  </si>
  <si>
    <t>2015-03-28T06:00:00.000</t>
  </si>
  <si>
    <t>2015-03-28T12:00:00.000</t>
  </si>
  <si>
    <t>2015-03-28T18:00:00.000</t>
  </si>
  <si>
    <t>2015-03-29T00:00:00.000</t>
  </si>
  <si>
    <t>2015-03-29T06:00:00.000</t>
  </si>
  <si>
    <t>2015-03-29T12:00:00.000</t>
  </si>
  <si>
    <t>2015-03-29T18:00:00.000</t>
  </si>
  <si>
    <t>2015-03-30T00:00:00.000</t>
  </si>
  <si>
    <t>2015-03-30T06:00:00.000</t>
  </si>
  <si>
    <t>2015-03-30T12:00:00.000</t>
  </si>
  <si>
    <t>2015-03-30T18:00:00.000</t>
  </si>
  <si>
    <t>2015-03-31T00:00:00.000</t>
  </si>
  <si>
    <t>2015-03-31T06:00:00.000</t>
  </si>
  <si>
    <t>2015-03-31T12:00:00.000</t>
  </si>
  <si>
    <t>2015-03-31T18:00:00.000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</si>
</sst>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vertAlign val="superscript"/>
      <sz val="11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</cellStyleXfs>
  <cellXfs count="11">
    <xf numFmtId="0" fontId="0" fillId="0" borderId="0" xfId="0"/>
    <xf numFmtId="0" fontId="0" fillId="0" borderId="0" xfId="0" applyBorder="1"/>
    <xf numFmtId="0" fontId="0" fillId="0" borderId="10" xfId="0" applyBorder="1"/>
    <xf numFmtId="0" fontId="19" fillId="33" borderId="11" xfId="0" applyFont="1" applyFill="1" applyBorder="1" applyAlignment="1">
      <alignment horizontal="center"/>
    </xf>
    <xf numFmtId="0" fontId="19" fillId="33" borderId="12" xfId="0" applyFont="1" applyFill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7" fillId="9" borderId="10" xfId="18" applyBorder="1" applyAlignment="1">
      <alignment horizontal="center" vertical="center"/>
    </xf>
    <xf numFmtId="0" fontId="17" fillId="34" borderId="10" xfId="0" applyFont="1" applyFill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4 2" xfId="42"/>
    <cellStyle name="Normal 5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161925</xdr:colOff>
      <xdr:row>1</xdr:row>
      <xdr:rowOff>24181</xdr:rowOff>
    </xdr:from>
    <xdr:to>
      <xdr:col>15</xdr:col>
      <xdr:colOff>352425</xdr:colOff>
      <xdr:row>25</xdr:row>
      <xdr:rowOff>144965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71850" y="224206"/>
          <a:ext cx="8039100" cy="499758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434">
          <cell r="E434">
            <v>326.61549759952049</v>
          </cell>
        </row>
        <row r="440">
          <cell r="E440">
            <v>318.78414375392424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6"/>
  <sheetViews>
    <sheetView tabSelected="1" topLeftCell="A79" zoomScaleNormal="100" workbookViewId="0">
      <selection activeCell="J79" sqref="J79:J82"/>
    </sheetView>
  </sheetViews>
  <sheetFormatPr defaultRowHeight="15" x14ac:dyDescent="0.25"/>
  <cols>
    <col min="1" max="1" width="29.42578125" style="8" customWidth="1"/>
    <col min="2" max="2" width="14.28515625" style="1" customWidth="1"/>
    <col min="3" max="3" width="10" style="1" customWidth="1"/>
    <col min="4" max="4" width="12.5703125" style="1" customWidth="1"/>
    <col min="5" max="5" width="9.140625" style="1"/>
    <col min="6" max="6" width="17" customWidth="1"/>
    <col min="7" max="7" width="13" customWidth="1"/>
    <col min="8" max="8" width="14.85546875" customWidth="1"/>
    <col min="9" max="9" width="15.42578125" customWidth="1"/>
    <col min="10" max="10" width="18.140625" bestFit="1" customWidth="1"/>
  </cols>
  <sheetData>
    <row r="1" spans="1:10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7</v>
      </c>
      <c r="G1" s="9" t="s">
        <v>6</v>
      </c>
      <c r="H1" s="9" t="s">
        <v>5</v>
      </c>
      <c r="I1" s="9" t="s">
        <v>8</v>
      </c>
      <c r="J1" s="10" t="s">
        <v>25</v>
      </c>
    </row>
    <row r="2" spans="1:10" x14ac:dyDescent="0.25">
      <c r="A2" s="9"/>
      <c r="B2" s="9"/>
      <c r="C2" s="9"/>
      <c r="D2" s="9"/>
      <c r="E2" s="9"/>
      <c r="F2" s="9"/>
      <c r="G2" s="9"/>
      <c r="H2" s="9"/>
      <c r="I2" s="9"/>
      <c r="J2" s="10"/>
    </row>
    <row r="3" spans="1:10" x14ac:dyDescent="0.25">
      <c r="A3" s="2" t="s">
        <v>26</v>
      </c>
      <c r="B3" s="2">
        <v>112.5</v>
      </c>
      <c r="C3" s="2">
        <v>-9</v>
      </c>
      <c r="D3" s="2">
        <v>0.83</v>
      </c>
      <c r="E3" s="2">
        <v>0.8</v>
      </c>
      <c r="F3" s="7">
        <f>SQRT((D3^2)+(E3^2))</f>
        <v>1.1527792503337315</v>
      </c>
      <c r="G3" s="7" t="str">
        <f>IF(AND(D3&gt;=0,E3&gt;=0),"K1",IF(AND(D3&gt;=0,E3&lt;=0),"K2",IF(AND(D3&lt;=0,E3&lt;=0),"K3",IF(AND(D3&lt;=0,E3&gt;=0),"K4"))))</f>
        <v>K1</v>
      </c>
      <c r="H3" s="2">
        <f>IF(G3="K1",(ATAN2(D3,E3))*(180/3.14)+180,IF(G3="K2",(ATAN2(D3,E3))*(180/3.14)+360,IF(G3="K3",(ATAN2(D3,E3))*(180/3.14)+0,IF(G3="K4",(ATAN2(D3,E3))*(180/3.14)+180,))))</f>
        <v>223.96788534056193</v>
      </c>
      <c r="I3" s="7" t="str">
        <f>IF(AND(H3&gt;=22.5,H3&lt;=67.5),"TL",IF(AND(H3&gt;=67.5,H3&lt;=112.5),"T",IF(AND(H3&gt;=112.5,H3&lt;=157.5),"TG",IF(AND(H3&gt;=157.5,H3&lt;=202.5),"S",IF(AND(H3&gt;=202.5,H3&lt;=247.5),"BD",IF(AND(H3&gt;=247.5,H3&lt;=292.5),"B",IF(AND(H3&gt;=292.5,H3&lt;=337.5),"BL","U")))))))</f>
        <v>BD</v>
      </c>
      <c r="J3" s="2">
        <f>1.9438444924574*F3</f>
        <v>2.2408235967803947</v>
      </c>
    </row>
    <row r="4" spans="1:10" x14ac:dyDescent="0.25">
      <c r="A4" s="2" t="s">
        <v>27</v>
      </c>
      <c r="B4" s="2">
        <v>112.5</v>
      </c>
      <c r="C4" s="2">
        <v>-9</v>
      </c>
      <c r="D4" s="2">
        <v>1.58</v>
      </c>
      <c r="E4" s="2">
        <v>-0.73</v>
      </c>
      <c r="F4" s="7">
        <f>SQRT((D4^2)+(E4^2))</f>
        <v>1.7404884371922729</v>
      </c>
      <c r="G4" s="7" t="str">
        <f>IF(AND(D4&gt;=0,E4&gt;=0),"K1",IF(AND(D4&gt;=0,E4&lt;=0),"K2",IF(AND(D4&lt;=0,E4&lt;=0),"K3",IF(AND(D4&lt;=0,E4&gt;=0),"K4"))))</f>
        <v>K2</v>
      </c>
      <c r="H4" s="2">
        <f>IF(G4="K1",(ATAN2(D4,E4))*(180/3.14)+180,IF(G4="K2",(ATAN2(D4,E4))*(180/3.14)+360,IF(G4="K3",(ATAN2(D4,E4))*(180/3.14)+0,IF(G4="K4",(ATAN2(D4,E4))*(180/3.14)+180,))))</f>
        <v>335.18928957373674</v>
      </c>
      <c r="I4" s="7" t="str">
        <f>IF(AND(H4&gt;=22.5,H4&lt;=67.5),"TL",IF(AND(H4&gt;=67.5,H4&lt;=112.5),"T",IF(AND(H4&gt;=112.5,H4&lt;=157.5),"TG",IF(AND(H4&gt;=157.5,H4&lt;=202.5),"S",IF(AND(H4&gt;=202.5,H4&lt;=247.5),"BD",IF(AND(H4&gt;=247.5,H4&lt;=292.5),"B",IF(AND(H4&gt;=292.5,H4&lt;=337.5),"BL","U")))))))</f>
        <v>BL</v>
      </c>
      <c r="J4" s="2">
        <f>1.9438444924574*F4</f>
        <v>3.3832388628219872</v>
      </c>
    </row>
    <row r="5" spans="1:10" x14ac:dyDescent="0.25">
      <c r="A5" s="2" t="s">
        <v>28</v>
      </c>
      <c r="B5" s="2">
        <v>112.5</v>
      </c>
      <c r="C5" s="2">
        <v>-9</v>
      </c>
      <c r="D5" s="2">
        <v>2.0099999999999998</v>
      </c>
      <c r="E5" s="2">
        <v>2.2200000000000002</v>
      </c>
      <c r="F5" s="7">
        <f>SQRT((D5^2)+(E5^2))</f>
        <v>2.9947453981933085</v>
      </c>
      <c r="G5" s="7" t="str">
        <f>IF(AND(D5&gt;=0,E5&gt;=0),"K1",IF(AND(D5&gt;=0,E5&lt;=0),"K2",IF(AND(D5&lt;=0,E5&lt;=0),"K3",IF(AND(D5&lt;=0,E5&gt;=0),"K4"))))</f>
        <v>K1</v>
      </c>
      <c r="H5" s="2">
        <f>IF(G5="K1",(ATAN2(D5,E5))*(180/3.14)+180,IF(G5="K2",(ATAN2(D5,E5))*(180/3.14)+360,IF(G5="K3",(ATAN2(D5,E5))*(180/3.14)+0,IF(G5="K4",(ATAN2(D5,E5))*(180/3.14)+180,))))</f>
        <v>227.86640411061228</v>
      </c>
      <c r="I5" s="7" t="str">
        <f>IF(AND(H5&gt;=22.5,H5&lt;=67.5),"TL",IF(AND(H5&gt;=67.5,H5&lt;=112.5),"T",IF(AND(H5&gt;=112.5,H5&lt;=157.5),"TG",IF(AND(H5&gt;=157.5,H5&lt;=202.5),"S",IF(AND(H5&gt;=202.5,H5&lt;=247.5),"BD",IF(AND(H5&gt;=247.5,H5&lt;=292.5),"B",IF(AND(H5&gt;=292.5,H5&lt;=337.5),"BL","U")))))))</f>
        <v>BD</v>
      </c>
      <c r="J5" s="2">
        <f>1.9438444924574*F5</f>
        <v>5.8213193485902064</v>
      </c>
    </row>
    <row r="6" spans="1:10" x14ac:dyDescent="0.25">
      <c r="A6" s="2" t="s">
        <v>29</v>
      </c>
      <c r="B6" s="2">
        <v>112.5</v>
      </c>
      <c r="C6" s="2">
        <v>-9</v>
      </c>
      <c r="D6" s="2">
        <v>1.27</v>
      </c>
      <c r="E6" s="2">
        <v>1.23</v>
      </c>
      <c r="F6" s="7">
        <f>SQRT((D6^2)+(E6^2))</f>
        <v>1.7679932126566549</v>
      </c>
      <c r="G6" s="7" t="str">
        <f>IF(AND(D6&gt;=0,E6&gt;=0),"K1",IF(AND(D6&gt;=0,E6&lt;=0),"K2",IF(AND(D6&lt;=0,E6&lt;=0),"K3",IF(AND(D6&lt;=0,E6&gt;=0),"K4"))))</f>
        <v>K1</v>
      </c>
      <c r="H6" s="2">
        <f>IF(G6="K1",(ATAN2(D6,E6))*(180/3.14)+180,IF(G6="K2",(ATAN2(D6,E6))*(180/3.14)+360,IF(G6="K3",(ATAN2(D6,E6))*(180/3.14)+0,IF(G6="K4",(ATAN2(D6,E6))*(180/3.14)+180,))))</f>
        <v>224.10570545662384</v>
      </c>
      <c r="I6" s="7" t="str">
        <f>IF(AND(H6&gt;=22.5,H6&lt;=67.5),"TL",IF(AND(H6&gt;=67.5,H6&lt;=112.5),"T",IF(AND(H6&gt;=112.5,H6&lt;=157.5),"TG",IF(AND(H6&gt;=157.5,H6&lt;=202.5),"S",IF(AND(H6&gt;=202.5,H6&lt;=247.5),"BD",IF(AND(H6&gt;=247.5,H6&lt;=292.5),"B",IF(AND(H6&gt;=292.5,H6&lt;=337.5),"BL","U")))))))</f>
        <v>BD</v>
      </c>
      <c r="J6" s="2">
        <f>1.9438444924574*F6</f>
        <v>3.4367038691247034</v>
      </c>
    </row>
    <row r="7" spans="1:10" x14ac:dyDescent="0.25">
      <c r="A7" s="2" t="s">
        <v>30</v>
      </c>
      <c r="B7" s="2">
        <v>112.5</v>
      </c>
      <c r="C7" s="2">
        <v>-9</v>
      </c>
      <c r="D7" s="2">
        <v>1.43</v>
      </c>
      <c r="E7" s="2">
        <v>0.57999999999999996</v>
      </c>
      <c r="F7" s="7">
        <f>SQRT((D7^2)+(E7^2))</f>
        <v>1.5431461369552786</v>
      </c>
      <c r="G7" s="7" t="str">
        <f>IF(AND(D7&gt;=0,E7&gt;=0),"K1",IF(AND(D7&gt;=0,E7&lt;=0),"K2",IF(AND(D7&lt;=0,E7&lt;=0),"K3",IF(AND(D7&lt;=0,E7&gt;=0),"K4"))))</f>
        <v>K1</v>
      </c>
      <c r="H7" s="2">
        <f>IF(G7="K1",(ATAN2(D7,E7))*(180/3.14)+180,IF(G7="K2",(ATAN2(D7,E7))*(180/3.14)+360,IF(G7="K3",(ATAN2(D7,E7))*(180/3.14)+0,IF(G7="K4",(ATAN2(D7,E7))*(180/3.14)+180,))))</f>
        <v>202.08839719156896</v>
      </c>
      <c r="I7" s="7" t="str">
        <f>IF(AND(H7&gt;=22.5,H7&lt;=67.5),"TL",IF(AND(H7&gt;=67.5,H7&lt;=112.5),"T",IF(AND(H7&gt;=112.5,H7&lt;=157.5),"TG",IF(AND(H7&gt;=157.5,H7&lt;=202.5),"S",IF(AND(H7&gt;=202.5,H7&lt;=247.5),"BD",IF(AND(H7&gt;=247.5,H7&lt;=292.5),"B",IF(AND(H7&gt;=292.5,H7&lt;=337.5),"BL","U")))))))</f>
        <v>S</v>
      </c>
      <c r="J7" s="2">
        <f>1.9438444924574*F7</f>
        <v>2.9996361193774312</v>
      </c>
    </row>
    <row r="8" spans="1:10" x14ac:dyDescent="0.25">
      <c r="A8" s="2" t="s">
        <v>31</v>
      </c>
      <c r="B8" s="2">
        <v>112.5</v>
      </c>
      <c r="C8" s="2">
        <v>-9</v>
      </c>
      <c r="D8" s="2">
        <v>2.9</v>
      </c>
      <c r="E8" s="2">
        <v>1.39</v>
      </c>
      <c r="F8" s="7">
        <f>SQRT((D8^2)+(E8^2))</f>
        <v>3.2159135560521523</v>
      </c>
      <c r="G8" s="7" t="str">
        <f>IF(AND(D8&gt;=0,E8&gt;=0),"K1",IF(AND(D8&gt;=0,E8&lt;=0),"K2",IF(AND(D8&lt;=0,E8&lt;=0),"K3",IF(AND(D8&lt;=0,E8&gt;=0),"K4"))))</f>
        <v>K1</v>
      </c>
      <c r="H8" s="2">
        <f>IF(G8="K1",(ATAN2(D8,E8))*(180/3.14)+180,IF(G8="K2",(ATAN2(D8,E8))*(180/3.14)+360,IF(G8="K3",(ATAN2(D8,E8))*(180/3.14)+0,IF(G8="K4",(ATAN2(D8,E8))*(180/3.14)+180,))))</f>
        <v>205.62187135356385</v>
      </c>
      <c r="I8" s="7" t="str">
        <f>IF(AND(H8&gt;=22.5,H8&lt;=67.5),"TL",IF(AND(H8&gt;=67.5,H8&lt;=112.5),"T",IF(AND(H8&gt;=112.5,H8&lt;=157.5),"TG",IF(AND(H8&gt;=157.5,H8&lt;=202.5),"S",IF(AND(H8&gt;=202.5,H8&lt;=247.5),"BD",IF(AND(H8&gt;=247.5,H8&lt;=292.5),"B",IF(AND(H8&gt;=292.5,H8&lt;=337.5),"BL","U")))))))</f>
        <v>BD</v>
      </c>
      <c r="J8" s="2">
        <f>1.9438444924574*F8</f>
        <v>6.2512358541510684</v>
      </c>
    </row>
    <row r="9" spans="1:10" x14ac:dyDescent="0.25">
      <c r="A9" s="2" t="s">
        <v>32</v>
      </c>
      <c r="B9" s="2">
        <v>112.5</v>
      </c>
      <c r="C9" s="2">
        <v>-9</v>
      </c>
      <c r="D9" s="2">
        <v>3.07</v>
      </c>
      <c r="E9" s="2">
        <v>2.09</v>
      </c>
      <c r="F9" s="7">
        <f>SQRT((D9^2)+(E9^2))</f>
        <v>3.7138928363645602</v>
      </c>
      <c r="G9" s="7" t="str">
        <f>IF(AND(D9&gt;=0,E9&gt;=0),"K1",IF(AND(D9&gt;=0,E9&lt;=0),"K2",IF(AND(D9&lt;=0,E9&lt;=0),"K3",IF(AND(D9&lt;=0,E9&gt;=0),"K4"))))</f>
        <v>K1</v>
      </c>
      <c r="H9" s="2">
        <f>IF(G9="K1",(ATAN2(D9,E9))*(180/3.14)+180,IF(G9="K2",(ATAN2(D9,E9))*(180/3.14)+360,IF(G9="K3",(ATAN2(D9,E9))*(180/3.14)+0,IF(G9="K4",(ATAN2(D9,E9))*(180/3.14)+180,))))</f>
        <v>214.26368998366297</v>
      </c>
      <c r="I9" s="7" t="str">
        <f>IF(AND(H9&gt;=22.5,H9&lt;=67.5),"TL",IF(AND(H9&gt;=67.5,H9&lt;=112.5),"T",IF(AND(H9&gt;=112.5,H9&lt;=157.5),"TG",IF(AND(H9&gt;=157.5,H9&lt;=202.5),"S",IF(AND(H9&gt;=202.5,H9&lt;=247.5),"BD",IF(AND(H9&gt;=247.5,H9&lt;=292.5),"B",IF(AND(H9&gt;=292.5,H9&lt;=337.5),"BL","U")))))))</f>
        <v>BD</v>
      </c>
      <c r="J9" s="2">
        <f>1.9438444924574*F9</f>
        <v>7.219230135544243</v>
      </c>
    </row>
    <row r="10" spans="1:10" x14ac:dyDescent="0.25">
      <c r="A10" s="2" t="s">
        <v>33</v>
      </c>
      <c r="B10" s="2">
        <v>112.5</v>
      </c>
      <c r="C10" s="2">
        <v>-9</v>
      </c>
      <c r="D10" s="2">
        <v>4.7699999999999996</v>
      </c>
      <c r="E10" s="2">
        <v>-1.75</v>
      </c>
      <c r="F10" s="7">
        <f>SQRT((D10^2)+(E10^2))</f>
        <v>5.0808857495519417</v>
      </c>
      <c r="G10" s="7" t="str">
        <f>IF(AND(D10&gt;=0,E10&gt;=0),"K1",IF(AND(D10&gt;=0,E10&lt;=0),"K2",IF(AND(D10&lt;=0,E10&lt;=0),"K3",IF(AND(D10&lt;=0,E10&gt;=0),"K4"))))</f>
        <v>K2</v>
      </c>
      <c r="H10" s="2">
        <f>IF(G10="K1",(ATAN2(D10,E10))*(180/3.14)+180,IF(G10="K2",(ATAN2(D10,E10))*(180/3.14)+360,IF(G10="K3",(ATAN2(D10,E10))*(180/3.14)+0,IF(G10="K4",(ATAN2(D10,E10))*(180/3.14)+180,))))</f>
        <v>339.84289032089526</v>
      </c>
      <c r="I10" s="7" t="str">
        <f>IF(AND(H10&gt;=22.5,H10&lt;=67.5),"TL",IF(AND(H10&gt;=67.5,H10&lt;=112.5),"T",IF(AND(H10&gt;=112.5,H10&lt;=157.5),"TG",IF(AND(H10&gt;=157.5,H10&lt;=202.5),"S",IF(AND(H10&gt;=202.5,H10&lt;=247.5),"BD",IF(AND(H10&gt;=247.5,H10&lt;=292.5),"B",IF(AND(H10&gt;=292.5,H10&lt;=337.5),"BL","U")))))))</f>
        <v>U</v>
      </c>
      <c r="J10" s="2">
        <f>1.9438444924574*F10</f>
        <v>9.8764517810718306</v>
      </c>
    </row>
    <row r="11" spans="1:10" x14ac:dyDescent="0.25">
      <c r="A11" s="2" t="s">
        <v>34</v>
      </c>
      <c r="B11" s="2">
        <v>112.5</v>
      </c>
      <c r="C11" s="2">
        <v>-9</v>
      </c>
      <c r="D11" s="2">
        <v>4.41</v>
      </c>
      <c r="E11" s="2">
        <v>-1.78</v>
      </c>
      <c r="F11" s="7">
        <f>SQRT((D11^2)+(E11^2))</f>
        <v>4.7556808135113524</v>
      </c>
      <c r="G11" s="7" t="str">
        <f>IF(AND(D11&gt;=0,E11&gt;=0),"K1",IF(AND(D11&gt;=0,E11&lt;=0),"K2",IF(AND(D11&lt;=0,E11&lt;=0),"K3",IF(AND(D11&lt;=0,E11&gt;=0),"K4"))))</f>
        <v>K2</v>
      </c>
      <c r="H11" s="2">
        <f>IF(G11="K1",(ATAN2(D11,E11))*(180/3.14)+180,IF(G11="K2",(ATAN2(D11,E11))*(180/3.14)+360,IF(G11="K3",(ATAN2(D11,E11))*(180/3.14)+0,IF(G11="K4",(ATAN2(D11,E11))*(180/3.14)+180,))))</f>
        <v>338.00846292657309</v>
      </c>
      <c r="I11" s="7" t="str">
        <f>IF(AND(H11&gt;=22.5,H11&lt;=67.5),"TL",IF(AND(H11&gt;=67.5,H11&lt;=112.5),"T",IF(AND(H11&gt;=112.5,H11&lt;=157.5),"TG",IF(AND(H11&gt;=157.5,H11&lt;=202.5),"S",IF(AND(H11&gt;=202.5,H11&lt;=247.5),"BD",IF(AND(H11&gt;=247.5,H11&lt;=292.5),"B",IF(AND(H11&gt;=292.5,H11&lt;=337.5),"BL","U")))))))</f>
        <v>U</v>
      </c>
      <c r="J11" s="2">
        <f>1.9438444924574*F11</f>
        <v>9.2443039572293699</v>
      </c>
    </row>
    <row r="12" spans="1:10" x14ac:dyDescent="0.25">
      <c r="A12" s="2" t="s">
        <v>35</v>
      </c>
      <c r="B12" s="2">
        <v>112.5</v>
      </c>
      <c r="C12" s="2">
        <v>-9</v>
      </c>
      <c r="D12" s="2">
        <v>3.75</v>
      </c>
      <c r="E12" s="2">
        <v>-2.4700000000000002</v>
      </c>
      <c r="F12" s="7">
        <f>SQRT((D12^2)+(E12^2))</f>
        <v>4.4903674682591408</v>
      </c>
      <c r="G12" s="7" t="str">
        <f>IF(AND(D12&gt;=0,E12&gt;=0),"K1",IF(AND(D12&gt;=0,E12&lt;=0),"K2",IF(AND(D12&lt;=0,E12&lt;=0),"K3",IF(AND(D12&lt;=0,E12&gt;=0),"K4"))))</f>
        <v>K2</v>
      </c>
      <c r="H12" s="2">
        <f>IF(G12="K1",(ATAN2(D12,E12))*(180/3.14)+180,IF(G12="K2",(ATAN2(D12,E12))*(180/3.14)+360,IF(G12="K3",(ATAN2(D12,E12))*(180/3.14)+0,IF(G12="K4",(ATAN2(D12,E12))*(180/3.14)+180,))))</f>
        <v>326.61150914640541</v>
      </c>
      <c r="I12" s="7" t="str">
        <f>IF(AND(H12&gt;=22.5,H12&lt;=67.5),"TL",IF(AND(H12&gt;=67.5,H12&lt;=112.5),"T",IF(AND(H12&gt;=112.5,H12&lt;=157.5),"TG",IF(AND(H12&gt;=157.5,H12&lt;=202.5),"S",IF(AND(H12&gt;=202.5,H12&lt;=247.5),"BD",IF(AND(H12&gt;=247.5,H12&lt;=292.5),"B",IF(AND(H12&gt;=292.5,H12&lt;=337.5),"BL","U")))))))</f>
        <v>BL</v>
      </c>
      <c r="J12" s="2">
        <f>1.9438444924574*F12</f>
        <v>8.72857607228541</v>
      </c>
    </row>
    <row r="13" spans="1:10" x14ac:dyDescent="0.25">
      <c r="A13" s="2" t="s">
        <v>36</v>
      </c>
      <c r="B13" s="2">
        <v>112.5</v>
      </c>
      <c r="C13" s="2">
        <v>-9</v>
      </c>
      <c r="D13" s="2">
        <v>1.53</v>
      </c>
      <c r="E13" s="2">
        <v>-3.34</v>
      </c>
      <c r="F13" s="7">
        <f>SQRT((D13^2)+(E13^2))</f>
        <v>3.6737582936279298</v>
      </c>
      <c r="G13" s="7" t="str">
        <f>IF(AND(D13&gt;=0,E13&gt;=0),"K1",IF(AND(D13&gt;=0,E13&lt;=0),"K2",IF(AND(D13&lt;=0,E13&lt;=0),"K3",IF(AND(D13&lt;=0,E13&gt;=0),"K4"))))</f>
        <v>K2</v>
      </c>
      <c r="H13" s="2">
        <f>IF(G13="K1",(ATAN2(D13,E13))*(180/3.14)+180,IF(G13="K2",(ATAN2(D13,E13))*(180/3.14)+360,IF(G13="K3",(ATAN2(D13,E13))*(180/3.14)+0,IF(G13="K4",(ATAN2(D13,E13))*(180/3.14)+180,))))</f>
        <v>294.57858413575428</v>
      </c>
      <c r="I13" s="7" t="str">
        <f>IF(AND(H13&gt;=22.5,H13&lt;=67.5),"TL",IF(AND(H13&gt;=67.5,H13&lt;=112.5),"T",IF(AND(H13&gt;=112.5,H13&lt;=157.5),"TG",IF(AND(H13&gt;=157.5,H13&lt;=202.5),"S",IF(AND(H13&gt;=202.5,H13&lt;=247.5),"BD",IF(AND(H13&gt;=247.5,H13&lt;=292.5),"B",IF(AND(H13&gt;=292.5,H13&lt;=337.5),"BL","U")))))))</f>
        <v>BL</v>
      </c>
      <c r="J13" s="2">
        <f>1.9438444924574*F13</f>
        <v>7.1412148256883476</v>
      </c>
    </row>
    <row r="14" spans="1:10" x14ac:dyDescent="0.25">
      <c r="A14" s="2" t="s">
        <v>37</v>
      </c>
      <c r="B14" s="2">
        <v>112.5</v>
      </c>
      <c r="C14" s="2">
        <v>-9</v>
      </c>
      <c r="D14" s="2">
        <v>3.62</v>
      </c>
      <c r="E14" s="2">
        <v>-3.02</v>
      </c>
      <c r="F14" s="7">
        <f>SQRT((D14^2)+(E14^2))</f>
        <v>4.7143186146038119</v>
      </c>
      <c r="G14" s="7" t="str">
        <f>IF(AND(D14&gt;=0,E14&gt;=0),"K1",IF(AND(D14&gt;=0,E14&lt;=0),"K2",IF(AND(D14&lt;=0,E14&lt;=0),"K3",IF(AND(D14&lt;=0,E14&gt;=0),"K4"))))</f>
        <v>K2</v>
      </c>
      <c r="H14" s="2">
        <f>IF(G14="K1",(ATAN2(D14,E14))*(180/3.14)+180,IF(G14="K2",(ATAN2(D14,E14))*(180/3.14)+360,IF(G14="K3",(ATAN2(D14,E14))*(180/3.14)+0,IF(G14="K4",(ATAN2(D14,E14))*(180/3.14)+180,))))</f>
        <v>320.14310106519918</v>
      </c>
      <c r="I14" s="7" t="str">
        <f>IF(AND(H14&gt;=22.5,H14&lt;=67.5),"TL",IF(AND(H14&gt;=67.5,H14&lt;=112.5),"T",IF(AND(H14&gt;=112.5,H14&lt;=157.5),"TG",IF(AND(H14&gt;=157.5,H14&lt;=202.5),"S",IF(AND(H14&gt;=202.5,H14&lt;=247.5),"BD",IF(AND(H14&gt;=247.5,H14&lt;=292.5),"B",IF(AND(H14&gt;=292.5,H14&lt;=337.5),"BL","U")))))))</f>
        <v>BL</v>
      </c>
      <c r="J14" s="2">
        <f>1.9438444924574*F14</f>
        <v>9.16390227468702</v>
      </c>
    </row>
    <row r="15" spans="1:10" x14ac:dyDescent="0.25">
      <c r="A15" s="2" t="s">
        <v>38</v>
      </c>
      <c r="B15" s="2">
        <v>112.5</v>
      </c>
      <c r="C15" s="2">
        <v>-9</v>
      </c>
      <c r="D15" s="2">
        <v>5.44</v>
      </c>
      <c r="E15" s="2">
        <v>-3.47</v>
      </c>
      <c r="F15" s="7">
        <f>SQRT((D15^2)+(E15^2))</f>
        <v>6.4524801433247356</v>
      </c>
      <c r="G15" s="7" t="str">
        <f>IF(AND(D15&gt;=0,E15&gt;=0),"K1",IF(AND(D15&gt;=0,E15&lt;=0),"K2",IF(AND(D15&lt;=0,E15&lt;=0),"K3",IF(AND(D15&lt;=0,E15&gt;=0),"K4"))))</f>
        <v>K2</v>
      </c>
      <c r="H15" s="2">
        <f>IF(G15="K1",(ATAN2(D15,E15))*(180/3.14)+180,IF(G15="K2",(ATAN2(D15,E15))*(180/3.14)+360,IF(G15="K3",(ATAN2(D15,E15))*(180/3.14)+0,IF(G15="K4",(ATAN2(D15,E15))*(180/3.14)+180,))))</f>
        <v>327.45101330718217</v>
      </c>
      <c r="I15" s="7" t="str">
        <f>IF(AND(H15&gt;=22.5,H15&lt;=67.5),"TL",IF(AND(H15&gt;=67.5,H15&lt;=112.5),"T",IF(AND(H15&gt;=112.5,H15&lt;=157.5),"TG",IF(AND(H15&gt;=157.5,H15&lt;=202.5),"S",IF(AND(H15&gt;=202.5,H15&lt;=247.5),"BD",IF(AND(H15&gt;=247.5,H15&lt;=292.5),"B",IF(AND(H15&gt;=292.5,H15&lt;=337.5),"BL","U")))))))</f>
        <v>BL</v>
      </c>
      <c r="J15" s="2">
        <f>1.9438444924574*F15</f>
        <v>12.542617989292523</v>
      </c>
    </row>
    <row r="16" spans="1:10" x14ac:dyDescent="0.25">
      <c r="A16" s="2" t="s">
        <v>39</v>
      </c>
      <c r="B16" s="2">
        <v>112.5</v>
      </c>
      <c r="C16" s="2">
        <v>-9</v>
      </c>
      <c r="D16" s="2">
        <v>5.99</v>
      </c>
      <c r="E16" s="2">
        <v>-0.82</v>
      </c>
      <c r="F16" s="7">
        <f>SQRT((D16^2)+(E16^2))</f>
        <v>6.0458663564455346</v>
      </c>
      <c r="G16" s="7" t="str">
        <f>IF(AND(D16&gt;=0,E16&gt;=0),"K1",IF(AND(D16&gt;=0,E16&lt;=0),"K2",IF(AND(D16&lt;=0,E16&lt;=0),"K3",IF(AND(D16&lt;=0,E16&gt;=0),"K4"))))</f>
        <v>K2</v>
      </c>
      <c r="H16" s="2">
        <f>IF(G16="K1",(ATAN2(D16,E16))*(180/3.14)+180,IF(G16="K2",(ATAN2(D16,E16))*(180/3.14)+360,IF(G16="K3",(ATAN2(D16,E16))*(180/3.14)+0,IF(G16="K4",(ATAN2(D16,E16))*(180/3.14)+180,))))</f>
        <v>352.20100310539823</v>
      </c>
      <c r="I16" s="7" t="str">
        <f>IF(AND(H16&gt;=22.5,H16&lt;=67.5),"TL",IF(AND(H16&gt;=67.5,H16&lt;=112.5),"T",IF(AND(H16&gt;=112.5,H16&lt;=157.5),"TG",IF(AND(H16&gt;=157.5,H16&lt;=202.5),"S",IF(AND(H16&gt;=202.5,H16&lt;=247.5),"BD",IF(AND(H16&gt;=247.5,H16&lt;=292.5),"B",IF(AND(H16&gt;=292.5,H16&lt;=337.5),"BL","U")))))))</f>
        <v>U</v>
      </c>
      <c r="J16" s="2">
        <f>1.9438444924574*F16</f>
        <v>11.752224019110141</v>
      </c>
    </row>
    <row r="17" spans="1:10" x14ac:dyDescent="0.25">
      <c r="A17" s="2" t="s">
        <v>40</v>
      </c>
      <c r="B17" s="2">
        <v>112.5</v>
      </c>
      <c r="C17" s="2">
        <v>-9</v>
      </c>
      <c r="D17" s="2">
        <v>6.2</v>
      </c>
      <c r="E17" s="2">
        <v>1.74</v>
      </c>
      <c r="F17" s="7">
        <f>SQRT((D17^2)+(E17^2))</f>
        <v>6.4395341446412102</v>
      </c>
      <c r="G17" s="7" t="str">
        <f>IF(AND(D17&gt;=0,E17&gt;=0),"K1",IF(AND(D17&gt;=0,E17&lt;=0),"K2",IF(AND(D17&lt;=0,E17&lt;=0),"K3",IF(AND(D17&lt;=0,E17&gt;=0),"K4"))))</f>
        <v>K1</v>
      </c>
      <c r="H17" s="2">
        <f>IF(G17="K1",(ATAN2(D17,E17))*(180/3.14)+180,IF(G17="K2",(ATAN2(D17,E17))*(180/3.14)+360,IF(G17="K3",(ATAN2(D17,E17))*(180/3.14)+0,IF(G17="K4",(ATAN2(D17,E17))*(180/3.14)+180,))))</f>
        <v>195.68446972106759</v>
      </c>
      <c r="I17" s="7" t="str">
        <f>IF(AND(H17&gt;=22.5,H17&lt;=67.5),"TL",IF(AND(H17&gt;=67.5,H17&lt;=112.5),"T",IF(AND(H17&gt;=112.5,H17&lt;=157.5),"TG",IF(AND(H17&gt;=157.5,H17&lt;=202.5),"S",IF(AND(H17&gt;=202.5,H17&lt;=247.5),"BD",IF(AND(H17&gt;=247.5,H17&lt;=292.5),"B",IF(AND(H17&gt;=292.5,H17&lt;=337.5),"BL","U")))))))</f>
        <v>S</v>
      </c>
      <c r="J17" s="2">
        <f>1.9438444924574*F17</f>
        <v>12.517452981052191</v>
      </c>
    </row>
    <row r="18" spans="1:10" x14ac:dyDescent="0.25">
      <c r="A18" s="2" t="s">
        <v>41</v>
      </c>
      <c r="B18" s="2">
        <v>112.5</v>
      </c>
      <c r="C18" s="2">
        <v>-9</v>
      </c>
      <c r="D18" s="2">
        <v>4.8499999999999996</v>
      </c>
      <c r="E18" s="2">
        <v>7.0000000000000007E-2</v>
      </c>
      <c r="F18" s="7">
        <f>SQRT((D18^2)+(E18^2))</f>
        <v>4.8505051283345733</v>
      </c>
      <c r="G18" s="7" t="str">
        <f>IF(AND(D18&gt;=0,E18&gt;=0),"K1",IF(AND(D18&gt;=0,E18&lt;=0),"K2",IF(AND(D18&lt;=0,E18&lt;=0),"K3",IF(AND(D18&lt;=0,E18&gt;=0),"K4"))))</f>
        <v>K1</v>
      </c>
      <c r="H18" s="2">
        <f>IF(G18="K1",(ATAN2(D18,E18))*(180/3.14)+180,IF(G18="K2",(ATAN2(D18,E18))*(180/3.14)+360,IF(G18="K3",(ATAN2(D18,E18))*(180/3.14)+0,IF(G18="K4",(ATAN2(D18,E18))*(180/3.14)+180,))))</f>
        <v>180.82731139289064</v>
      </c>
      <c r="I18" s="7" t="str">
        <f>IF(AND(H18&gt;=22.5,H18&lt;=67.5),"TL",IF(AND(H18&gt;=67.5,H18&lt;=112.5),"T",IF(AND(H18&gt;=112.5,H18&lt;=157.5),"TG",IF(AND(H18&gt;=157.5,H18&lt;=202.5),"S",IF(AND(H18&gt;=202.5,H18&lt;=247.5),"BD",IF(AND(H18&gt;=247.5,H18&lt;=292.5),"B",IF(AND(H18&gt;=292.5,H18&lt;=337.5),"BL","U")))))))</f>
        <v>S</v>
      </c>
      <c r="J18" s="2">
        <f>1.9438444924574*F18</f>
        <v>9.4286276793495354</v>
      </c>
    </row>
    <row r="19" spans="1:10" x14ac:dyDescent="0.25">
      <c r="A19" s="2" t="s">
        <v>42</v>
      </c>
      <c r="B19" s="2">
        <v>112.5</v>
      </c>
      <c r="C19" s="2">
        <v>-9</v>
      </c>
      <c r="D19" s="2">
        <v>5.87</v>
      </c>
      <c r="E19" s="2">
        <v>-2.0099999999999998</v>
      </c>
      <c r="F19" s="7">
        <f>SQRT((D19^2)+(E19^2))</f>
        <v>6.2045950713966818</v>
      </c>
      <c r="G19" s="7" t="str">
        <f>IF(AND(D19&gt;=0,E19&gt;=0),"K1",IF(AND(D19&gt;=0,E19&lt;=0),"K2",IF(AND(D19&lt;=0,E19&lt;=0),"K3",IF(AND(D19&lt;=0,E19&gt;=0),"K4"))))</f>
        <v>K2</v>
      </c>
      <c r="H19" s="2">
        <f>IF(G19="K1",(ATAN2(D19,E19))*(180/3.14)+180,IF(G19="K2",(ATAN2(D19,E19))*(180/3.14)+360,IF(G19="K3",(ATAN2(D19,E19))*(180/3.14)+0,IF(G19="K4",(ATAN2(D19,E19))*(180/3.14)+180,))))</f>
        <v>341.08823020343868</v>
      </c>
      <c r="I19" s="7" t="str">
        <f>IF(AND(H19&gt;=22.5,H19&lt;=67.5),"TL",IF(AND(H19&gt;=67.5,H19&lt;=112.5),"T",IF(AND(H19&gt;=112.5,H19&lt;=157.5),"TG",IF(AND(H19&gt;=157.5,H19&lt;=202.5),"S",IF(AND(H19&gt;=202.5,H19&lt;=247.5),"BD",IF(AND(H19&gt;=247.5,H19&lt;=292.5),"B",IF(AND(H19&gt;=292.5,H19&lt;=337.5),"BL","U")))))))</f>
        <v>U</v>
      </c>
      <c r="J19" s="2">
        <f>1.9438444924574*F19</f>
        <v>12.060767957462769</v>
      </c>
    </row>
    <row r="20" spans="1:10" x14ac:dyDescent="0.25">
      <c r="A20" s="2" t="s">
        <v>43</v>
      </c>
      <c r="B20" s="2">
        <v>112.5</v>
      </c>
      <c r="C20" s="2">
        <v>-9</v>
      </c>
      <c r="D20" s="2">
        <v>6.4</v>
      </c>
      <c r="E20" s="2">
        <v>-2.87</v>
      </c>
      <c r="F20" s="7">
        <f>SQRT((D20^2)+(E20^2))</f>
        <v>7.014050185164062</v>
      </c>
      <c r="G20" s="7" t="str">
        <f>IF(AND(D20&gt;=0,E20&gt;=0),"K1",IF(AND(D20&gt;=0,E20&lt;=0),"K2",IF(AND(D20&lt;=0,E20&lt;=0),"K3",IF(AND(D20&lt;=0,E20&gt;=0),"K4"))))</f>
        <v>K2</v>
      </c>
      <c r="H20" s="2">
        <f>IF(G20="K1",(ATAN2(D20,E20))*(180/3.14)+180,IF(G20="K2",(ATAN2(D20,E20))*(180/3.14)+360,IF(G20="K3",(ATAN2(D20,E20))*(180/3.14)+0,IF(G20="K4",(ATAN2(D20,E20))*(180/3.14)+180,))))</f>
        <v>335.8344960945189</v>
      </c>
      <c r="I20" s="7" t="str">
        <f>IF(AND(H20&gt;=22.5,H20&lt;=67.5),"TL",IF(AND(H20&gt;=67.5,H20&lt;=112.5),"T",IF(AND(H20&gt;=112.5,H20&lt;=157.5),"TG",IF(AND(H20&gt;=157.5,H20&lt;=202.5),"S",IF(AND(H20&gt;=202.5,H20&lt;=247.5),"BD",IF(AND(H20&gt;=247.5,H20&lt;=292.5),"B",IF(AND(H20&gt;=292.5,H20&lt;=337.5),"BL","U")))))))</f>
        <v>BL</v>
      </c>
      <c r="J20" s="2">
        <f>1.9438444924574*F20</f>
        <v>13.634222822250969</v>
      </c>
    </row>
    <row r="21" spans="1:10" x14ac:dyDescent="0.25">
      <c r="A21" s="2" t="s">
        <v>44</v>
      </c>
      <c r="B21" s="2">
        <v>112.5</v>
      </c>
      <c r="C21" s="2">
        <v>-9</v>
      </c>
      <c r="D21" s="2">
        <v>4.58</v>
      </c>
      <c r="E21" s="2">
        <v>-1.17</v>
      </c>
      <c r="F21" s="7">
        <f>SQRT((D21^2)+(E21^2))</f>
        <v>4.7270815520784071</v>
      </c>
      <c r="G21" s="7" t="str">
        <f>IF(AND(D21&gt;=0,E21&gt;=0),"K1",IF(AND(D21&gt;=0,E21&lt;=0),"K2",IF(AND(D21&lt;=0,E21&lt;=0),"K3",IF(AND(D21&lt;=0,E21&gt;=0),"K4"))))</f>
        <v>K2</v>
      </c>
      <c r="H21" s="2">
        <f>IF(G21="K1",(ATAN2(D21,E21))*(180/3.14)+180,IF(G21="K2",(ATAN2(D21,E21))*(180/3.14)+360,IF(G21="K3",(ATAN2(D21,E21))*(180/3.14)+0,IF(G21="K4",(ATAN2(D21,E21))*(180/3.14)+180,))))</f>
        <v>345.66251535114742</v>
      </c>
      <c r="I21" s="7" t="str">
        <f>IF(AND(H21&gt;=22.5,H21&lt;=67.5),"TL",IF(AND(H21&gt;=67.5,H21&lt;=112.5),"T",IF(AND(H21&gt;=112.5,H21&lt;=157.5),"TG",IF(AND(H21&gt;=157.5,H21&lt;=202.5),"S",IF(AND(H21&gt;=202.5,H21&lt;=247.5),"BD",IF(AND(H21&gt;=247.5,H21&lt;=292.5),"B",IF(AND(H21&gt;=292.5,H21&lt;=337.5),"BL","U")))))))</f>
        <v>U</v>
      </c>
      <c r="J21" s="2">
        <f>1.9438444924574*F21</f>
        <v>9.1887114404045906</v>
      </c>
    </row>
    <row r="22" spans="1:10" x14ac:dyDescent="0.25">
      <c r="A22" s="2" t="s">
        <v>45</v>
      </c>
      <c r="B22" s="2">
        <v>112.5</v>
      </c>
      <c r="C22" s="2">
        <v>-9</v>
      </c>
      <c r="D22" s="2">
        <v>4.43</v>
      </c>
      <c r="E22" s="2">
        <v>-1.38</v>
      </c>
      <c r="F22" s="7">
        <f>SQRT((D22^2)+(E22^2))</f>
        <v>4.639967672301176</v>
      </c>
      <c r="G22" s="7" t="str">
        <f>IF(AND(D22&gt;=0,E22&gt;=0),"K1",IF(AND(D22&gt;=0,E22&lt;=0),"K2",IF(AND(D22&lt;=0,E22&lt;=0),"K3",IF(AND(D22&lt;=0,E22&gt;=0),"K4"))))</f>
        <v>K2</v>
      </c>
      <c r="H22" s="2">
        <f>IF(G22="K1",(ATAN2(D22,E22))*(180/3.14)+180,IF(G22="K2",(ATAN2(D22,E22))*(180/3.14)+360,IF(G22="K3",(ATAN2(D22,E22))*(180/3.14)+0,IF(G22="K4",(ATAN2(D22,E22))*(180/3.14)+180,))))</f>
        <v>342.68876401921329</v>
      </c>
      <c r="I22" s="7" t="str">
        <f>IF(AND(H22&gt;=22.5,H22&lt;=67.5),"TL",IF(AND(H22&gt;=67.5,H22&lt;=112.5),"T",IF(AND(H22&gt;=112.5,H22&lt;=157.5),"TG",IF(AND(H22&gt;=157.5,H22&lt;=202.5),"S",IF(AND(H22&gt;=202.5,H22&lt;=247.5),"BD",IF(AND(H22&gt;=247.5,H22&lt;=292.5),"B",IF(AND(H22&gt;=292.5,H22&lt;=337.5),"BL","U")))))))</f>
        <v>U</v>
      </c>
      <c r="J22" s="2">
        <f>1.9438444924574*F22</f>
        <v>9.0193756049830238</v>
      </c>
    </row>
    <row r="23" spans="1:10" x14ac:dyDescent="0.25">
      <c r="A23" s="2" t="s">
        <v>46</v>
      </c>
      <c r="B23" s="2">
        <v>112.5</v>
      </c>
      <c r="C23" s="2">
        <v>-9</v>
      </c>
      <c r="D23" s="2">
        <v>4.5999999999999996</v>
      </c>
      <c r="E23" s="2">
        <v>-2.2200000000000002</v>
      </c>
      <c r="F23" s="7">
        <f>SQRT((D23^2)+(E23^2))</f>
        <v>5.1076804911818829</v>
      </c>
      <c r="G23" s="7" t="str">
        <f>IF(AND(D23&gt;=0,E23&gt;=0),"K1",IF(AND(D23&gt;=0,E23&lt;=0),"K2",IF(AND(D23&lt;=0,E23&lt;=0),"K3",IF(AND(D23&lt;=0,E23&gt;=0),"K4"))))</f>
        <v>K2</v>
      </c>
      <c r="H23" s="2">
        <f>IF(G23="K1",(ATAN2(D23,E23))*(180/3.14)+180,IF(G23="K2",(ATAN2(D23,E23))*(180/3.14)+360,IF(G23="K3",(ATAN2(D23,E23))*(180/3.14)+0,IF(G23="K4",(ATAN2(D23,E23))*(180/3.14)+180,))))</f>
        <v>334.22457223148223</v>
      </c>
      <c r="I23" s="7" t="str">
        <f>IF(AND(H23&gt;=22.5,H23&lt;=67.5),"TL",IF(AND(H23&gt;=67.5,H23&lt;=112.5),"T",IF(AND(H23&gt;=112.5,H23&lt;=157.5),"TG",IF(AND(H23&gt;=157.5,H23&lt;=202.5),"S",IF(AND(H23&gt;=202.5,H23&lt;=247.5),"BD",IF(AND(H23&gt;=247.5,H23&lt;=292.5),"B",IF(AND(H23&gt;=292.5,H23&lt;=337.5),"BL","U")))))))</f>
        <v>BL</v>
      </c>
      <c r="J23" s="2">
        <f>1.9438444924574*F23</f>
        <v>9.9285365920160107</v>
      </c>
    </row>
    <row r="24" spans="1:10" x14ac:dyDescent="0.25">
      <c r="A24" s="2" t="s">
        <v>47</v>
      </c>
      <c r="B24" s="2">
        <v>112.5</v>
      </c>
      <c r="C24" s="2">
        <v>-9</v>
      </c>
      <c r="D24" s="2">
        <v>5.39</v>
      </c>
      <c r="E24" s="2">
        <v>-1.67</v>
      </c>
      <c r="F24" s="7">
        <f>SQRT((D24^2)+(E24^2))</f>
        <v>5.642783001321245</v>
      </c>
      <c r="G24" s="7" t="str">
        <f>IF(AND(D24&gt;=0,E24&gt;=0),"K1",IF(AND(D24&gt;=0,E24&lt;=0),"K2",IF(AND(D24&lt;=0,E24&lt;=0),"K3",IF(AND(D24&lt;=0,E24&gt;=0),"K4"))))</f>
        <v>K2</v>
      </c>
      <c r="H24" s="2">
        <f>IF(G24="K1",(ATAN2(D24,E24))*(180/3.14)+180,IF(G24="K2",(ATAN2(D24,E24))*(180/3.14)+360,IF(G24="K3",(ATAN2(D24,E24))*(180/3.14)+0,IF(G24="K4",(ATAN2(D24,E24))*(180/3.14)+180,))))</f>
        <v>342.77656090173605</v>
      </c>
      <c r="I24" s="7" t="str">
        <f>IF(AND(H24&gt;=22.5,H24&lt;=67.5),"TL",IF(AND(H24&gt;=67.5,H24&lt;=112.5),"T",IF(AND(H24&gt;=112.5,H24&lt;=157.5),"TG",IF(AND(H24&gt;=157.5,H24&lt;=202.5),"S",IF(AND(H24&gt;=202.5,H24&lt;=247.5),"BD",IF(AND(H24&gt;=247.5,H24&lt;=292.5),"B",IF(AND(H24&gt;=292.5,H24&lt;=337.5),"BL","U")))))))</f>
        <v>U</v>
      </c>
      <c r="J24" s="2">
        <f>1.9438444924574*F24</f>
        <v>10.968692659250541</v>
      </c>
    </row>
    <row r="25" spans="1:10" x14ac:dyDescent="0.25">
      <c r="A25" s="2" t="s">
        <v>48</v>
      </c>
      <c r="B25" s="2">
        <v>112.5</v>
      </c>
      <c r="C25" s="2">
        <v>-9</v>
      </c>
      <c r="D25" s="2">
        <v>4.5</v>
      </c>
      <c r="E25" s="2">
        <v>-0.2</v>
      </c>
      <c r="F25" s="7">
        <f>SQRT((D25^2)+(E25^2))</f>
        <v>4.5044422518220832</v>
      </c>
      <c r="G25" s="7" t="str">
        <f>IF(AND(D25&gt;=0,E25&gt;=0),"K1",IF(AND(D25&gt;=0,E25&lt;=0),"K2",IF(AND(D25&lt;=0,E25&lt;=0),"K3",IF(AND(D25&lt;=0,E25&gt;=0),"K4"))))</f>
        <v>K2</v>
      </c>
      <c r="H25" s="2">
        <f>IF(G25="K1",(ATAN2(D25,E25))*(180/3.14)+180,IF(G25="K2",(ATAN2(D25,E25))*(180/3.14)+360,IF(G25="K3",(ATAN2(D25,E25))*(180/3.14)+0,IF(G25="K4",(ATAN2(D25,E25))*(180/3.14)+180,))))</f>
        <v>357.45390485845735</v>
      </c>
      <c r="I25" s="7" t="str">
        <f>IF(AND(H25&gt;=22.5,H25&lt;=67.5),"TL",IF(AND(H25&gt;=67.5,H25&lt;=112.5),"T",IF(AND(H25&gt;=112.5,H25&lt;=157.5),"TG",IF(AND(H25&gt;=157.5,H25&lt;=202.5),"S",IF(AND(H25&gt;=202.5,H25&lt;=247.5),"BD",IF(AND(H25&gt;=247.5,H25&lt;=292.5),"B",IF(AND(H25&gt;=292.5,H25&lt;=337.5),"BL","U")))))))</f>
        <v>U</v>
      </c>
      <c r="J25" s="2">
        <f>1.9438444924574*F25</f>
        <v>8.7559352627967666</v>
      </c>
    </row>
    <row r="26" spans="1:10" x14ac:dyDescent="0.25">
      <c r="A26" s="2" t="s">
        <v>49</v>
      </c>
      <c r="B26" s="2">
        <v>112.5</v>
      </c>
      <c r="C26" s="2">
        <v>-9</v>
      </c>
      <c r="D26" s="2">
        <v>5.15</v>
      </c>
      <c r="E26" s="2">
        <v>-0.24</v>
      </c>
      <c r="F26" s="7">
        <f>SQRT((D26^2)+(E26^2))</f>
        <v>5.1555892000817911</v>
      </c>
      <c r="G26" s="7" t="str">
        <f>IF(AND(D26&gt;=0,E26&gt;=0),"K1",IF(AND(D26&gt;=0,E26&lt;=0),"K2",IF(AND(D26&lt;=0,E26&lt;=0),"K3",IF(AND(D26&lt;=0,E26&gt;=0),"K4"))))</f>
        <v>K2</v>
      </c>
      <c r="H26" s="2">
        <f>IF(G26="K1",(ATAN2(D26,E26))*(180/3.14)+180,IF(G26="K2",(ATAN2(D26,E26))*(180/3.14)+360,IF(G26="K3",(ATAN2(D26,E26))*(180/3.14)+0,IF(G26="K4",(ATAN2(D26,E26))*(180/3.14)+180,))))</f>
        <v>357.33048249229716</v>
      </c>
      <c r="I26" s="7" t="str">
        <f>IF(AND(H26&gt;=22.5,H26&lt;=67.5),"TL",IF(AND(H26&gt;=67.5,H26&lt;=112.5),"T",IF(AND(H26&gt;=112.5,H26&lt;=157.5),"TG",IF(AND(H26&gt;=157.5,H26&lt;=202.5),"S",IF(AND(H26&gt;=202.5,H26&lt;=247.5),"BD",IF(AND(H26&gt;=247.5,H26&lt;=292.5),"B",IF(AND(H26&gt;=292.5,H26&lt;=337.5),"BL","U")))))))</f>
        <v>U</v>
      </c>
      <c r="J26" s="2">
        <f>1.9438444924574*F26</f>
        <v>10.021663671951842</v>
      </c>
    </row>
    <row r="27" spans="1:10" x14ac:dyDescent="0.25">
      <c r="A27" s="2" t="s">
        <v>50</v>
      </c>
      <c r="B27" s="2">
        <v>112.5</v>
      </c>
      <c r="C27" s="2">
        <v>-9</v>
      </c>
      <c r="D27" s="2">
        <v>4.8600000000000003</v>
      </c>
      <c r="E27" s="2">
        <v>-1.39</v>
      </c>
      <c r="F27" s="7">
        <f>SQRT((D27^2)+(E27^2))</f>
        <v>5.0548689399429536</v>
      </c>
      <c r="G27" s="7" t="str">
        <f>IF(AND(D27&gt;=0,E27&gt;=0),"K1",IF(AND(D27&gt;=0,E27&lt;=0),"K2",IF(AND(D27&lt;=0,E27&lt;=0),"K3",IF(AND(D27&lt;=0,E27&gt;=0),"K4"))))</f>
        <v>K2</v>
      </c>
      <c r="H27" s="2">
        <f>IF(G27="K1",(ATAN2(D27,E27))*(180/3.14)+180,IF(G27="K2",(ATAN2(D27,E27))*(180/3.14)+360,IF(G27="K3",(ATAN2(D27,E27))*(180/3.14)+0,IF(G27="K4",(ATAN2(D27,E27))*(180/3.14)+180,))))</f>
        <v>344.03093896076615</v>
      </c>
      <c r="I27" s="7" t="str">
        <f>IF(AND(H27&gt;=22.5,H27&lt;=67.5),"TL",IF(AND(H27&gt;=67.5,H27&lt;=112.5),"T",IF(AND(H27&gt;=112.5,H27&lt;=157.5),"TG",IF(AND(H27&gt;=157.5,H27&lt;=202.5),"S",IF(AND(H27&gt;=202.5,H27&lt;=247.5),"BD",IF(AND(H27&gt;=247.5,H27&lt;=292.5),"B",IF(AND(H27&gt;=292.5,H27&lt;=337.5),"BL","U")))))))</f>
        <v>U</v>
      </c>
      <c r="J27" s="2">
        <f>1.9438444924574*F27</f>
        <v>9.8258791490020876</v>
      </c>
    </row>
    <row r="28" spans="1:10" x14ac:dyDescent="0.25">
      <c r="A28" s="2" t="s">
        <v>51</v>
      </c>
      <c r="B28" s="2">
        <v>112.5</v>
      </c>
      <c r="C28" s="2">
        <v>-9</v>
      </c>
      <c r="D28" s="2">
        <v>3.63</v>
      </c>
      <c r="E28" s="2">
        <v>-3.49</v>
      </c>
      <c r="F28" s="7">
        <f>SQRT((D28^2)+(E28^2))</f>
        <v>5.0355734529445604</v>
      </c>
      <c r="G28" s="7" t="str">
        <f>IF(AND(D28&gt;=0,E28&gt;=0),"K1",IF(AND(D28&gt;=0,E28&lt;=0),"K2",IF(AND(D28&lt;=0,E28&lt;=0),"K3",IF(AND(D28&lt;=0,E28&gt;=0),"K4"))))</f>
        <v>K2</v>
      </c>
      <c r="H28" s="2">
        <f>IF(G28="K1",(ATAN2(D28,E28))*(180/3.14)+180,IF(G28="K2",(ATAN2(D28,E28))*(180/3.14)+360,IF(G28="K3",(ATAN2(D28,E28))*(180/3.14)+0,IF(G28="K4",(ATAN2(D28,E28))*(180/3.14)+180,))))</f>
        <v>316.10420394900075</v>
      </c>
      <c r="I28" s="7" t="str">
        <f>IF(AND(H28&gt;=22.5,H28&lt;=67.5),"TL",IF(AND(H28&gt;=67.5,H28&lt;=112.5),"T",IF(AND(H28&gt;=112.5,H28&lt;=157.5),"TG",IF(AND(H28&gt;=157.5,H28&lt;=202.5),"S",IF(AND(H28&gt;=202.5,H28&lt;=247.5),"BD",IF(AND(H28&gt;=247.5,H28&lt;=292.5),"B",IF(AND(H28&gt;=292.5,H28&lt;=337.5),"BL","U")))))))</f>
        <v>BL</v>
      </c>
      <c r="J28" s="2">
        <f>1.9438444924574*F28</f>
        <v>9.788371722870977</v>
      </c>
    </row>
    <row r="29" spans="1:10" x14ac:dyDescent="0.25">
      <c r="A29" s="2" t="s">
        <v>52</v>
      </c>
      <c r="B29" s="2">
        <v>112.5</v>
      </c>
      <c r="C29" s="2">
        <v>-9</v>
      </c>
      <c r="D29" s="2">
        <v>3.77</v>
      </c>
      <c r="E29" s="2">
        <v>-3.36</v>
      </c>
      <c r="F29" s="7">
        <f>SQRT((D29^2)+(E29^2))</f>
        <v>5.05</v>
      </c>
      <c r="G29" s="7" t="str">
        <f>IF(AND(D29&gt;=0,E29&gt;=0),"K1",IF(AND(D29&gt;=0,E29&lt;=0),"K2",IF(AND(D29&lt;=0,E29&lt;=0),"K3",IF(AND(D29&lt;=0,E29&gt;=0),"K4"))))</f>
        <v>K2</v>
      </c>
      <c r="H29" s="2">
        <f>IF(G29="K1",(ATAN2(D29,E29))*(180/3.14)+180,IF(G29="K2",(ATAN2(D29,E29))*(180/3.14)+360,IF(G29="K3",(ATAN2(D29,E29))*(180/3.14)+0,IF(G29="K4",(ATAN2(D29,E29))*(180/3.14)+180,))))</f>
        <v>318.26992855303445</v>
      </c>
      <c r="I29" s="7" t="str">
        <f>IF(AND(H29&gt;=22.5,H29&lt;=67.5),"TL",IF(AND(H29&gt;=67.5,H29&lt;=112.5),"T",IF(AND(H29&gt;=112.5,H29&lt;=157.5),"TG",IF(AND(H29&gt;=157.5,H29&lt;=202.5),"S",IF(AND(H29&gt;=202.5,H29&lt;=247.5),"BD",IF(AND(H29&gt;=247.5,H29&lt;=292.5),"B",IF(AND(H29&gt;=292.5,H29&lt;=337.5),"BL","U")))))))</f>
        <v>BL</v>
      </c>
      <c r="J29" s="2">
        <f>1.9438444924574*F29</f>
        <v>9.8164146869098694</v>
      </c>
    </row>
    <row r="30" spans="1:10" x14ac:dyDescent="0.25">
      <c r="A30" s="2" t="s">
        <v>53</v>
      </c>
      <c r="B30" s="2">
        <v>112.5</v>
      </c>
      <c r="C30" s="2">
        <v>-9</v>
      </c>
      <c r="D30" s="2">
        <v>4.12</v>
      </c>
      <c r="E30" s="2">
        <v>-3.43</v>
      </c>
      <c r="F30" s="7">
        <f>SQRT((D30^2)+(E30^2))</f>
        <v>5.3609047743827718</v>
      </c>
      <c r="G30" s="7" t="str">
        <f>IF(AND(D30&gt;=0,E30&gt;=0),"K1",IF(AND(D30&gt;=0,E30&lt;=0),"K2",IF(AND(D30&lt;=0,E30&lt;=0),"K3",IF(AND(D30&lt;=0,E30&gt;=0),"K4"))))</f>
        <v>K2</v>
      </c>
      <c r="H30" s="2">
        <f>IF(G30="K1",(ATAN2(D30,E30))*(180/3.14)+180,IF(G30="K2",(ATAN2(D30,E30))*(180/3.14)+360,IF(G30="K3",(ATAN2(D30,E30))*(180/3.14)+0,IF(G30="K4",(ATAN2(D30,E30))*(180/3.14)+180,))))</f>
        <v>320.20162124000831</v>
      </c>
      <c r="I30" s="7" t="str">
        <f>IF(AND(H30&gt;=22.5,H30&lt;=67.5),"TL",IF(AND(H30&gt;=67.5,H30&lt;=112.5),"T",IF(AND(H30&gt;=112.5,H30&lt;=157.5),"TG",IF(AND(H30&gt;=157.5,H30&lt;=202.5),"S",IF(AND(H30&gt;=202.5,H30&lt;=247.5),"BD",IF(AND(H30&gt;=247.5,H30&lt;=292.5),"B",IF(AND(H30&gt;=292.5,H30&lt;=337.5),"BL","U")))))))</f>
        <v>BL</v>
      </c>
      <c r="J30" s="2">
        <f>1.9438444924574*F30</f>
        <v>10.420765220272532</v>
      </c>
    </row>
    <row r="31" spans="1:10" x14ac:dyDescent="0.25">
      <c r="A31" s="2" t="s">
        <v>54</v>
      </c>
      <c r="B31" s="2">
        <v>112.5</v>
      </c>
      <c r="C31" s="2">
        <v>-9</v>
      </c>
      <c r="D31" s="2">
        <v>3.5</v>
      </c>
      <c r="E31" s="2">
        <v>-6.11</v>
      </c>
      <c r="F31" s="7">
        <f>SQRT((D31^2)+(E31^2))</f>
        <v>7.0414558153836344</v>
      </c>
      <c r="G31" s="7" t="str">
        <f>IF(AND(D31&gt;=0,E31&gt;=0),"K1",IF(AND(D31&gt;=0,E31&lt;=0),"K2",IF(AND(D31&lt;=0,E31&lt;=0),"K3",IF(AND(D31&lt;=0,E31&gt;=0),"K4"))))</f>
        <v>K2</v>
      </c>
      <c r="H31" s="2">
        <f>IF(G31="K1",(ATAN2(D31,E31))*(180/3.14)+180,IF(G31="K2",(ATAN2(D31,E31))*(180/3.14)+360,IF(G31="K3",(ATAN2(D31,E31))*(180/3.14)+0,IF(G31="K4",(ATAN2(D31,E31))*(180/3.14)+180,))))</f>
        <v>299.77490541245254</v>
      </c>
      <c r="I31" s="7" t="str">
        <f>IF(AND(H31&gt;=22.5,H31&lt;=67.5),"TL",IF(AND(H31&gt;=67.5,H31&lt;=112.5),"T",IF(AND(H31&gt;=112.5,H31&lt;=157.5),"TG",IF(AND(H31&gt;=157.5,H31&lt;=202.5),"S",IF(AND(H31&gt;=202.5,H31&lt;=247.5),"BD",IF(AND(H31&gt;=247.5,H31&lt;=292.5),"B",IF(AND(H31&gt;=292.5,H31&lt;=337.5),"BL","U")))))))</f>
        <v>BL</v>
      </c>
      <c r="J31" s="2">
        <f>1.9438444924574*F31</f>
        <v>13.687495105615609</v>
      </c>
    </row>
    <row r="32" spans="1:10" x14ac:dyDescent="0.25">
      <c r="A32" s="2" t="s">
        <v>55</v>
      </c>
      <c r="B32" s="2">
        <v>112.5</v>
      </c>
      <c r="C32" s="2">
        <v>-9</v>
      </c>
      <c r="D32" s="2">
        <v>3.45</v>
      </c>
      <c r="E32" s="2">
        <v>-3.6</v>
      </c>
      <c r="F32" s="7">
        <f>SQRT((D32^2)+(E32^2))</f>
        <v>4.9862310415783986</v>
      </c>
      <c r="G32" s="7" t="str">
        <f>IF(AND(D32&gt;=0,E32&gt;=0),"K1",IF(AND(D32&gt;=0,E32&lt;=0),"K2",IF(AND(D32&lt;=0,E32&lt;=0),"K3",IF(AND(D32&lt;=0,E32&gt;=0),"K4"))))</f>
        <v>K2</v>
      </c>
      <c r="H32" s="2">
        <f>IF(G32="K1",(ATAN2(D32,E32))*(180/3.14)+180,IF(G32="K2",(ATAN2(D32,E32))*(180/3.14)+360,IF(G32="K3",(ATAN2(D32,E32))*(180/3.14)+0,IF(G32="K4",(ATAN2(D32,E32))*(180/3.14)+180,))))</f>
        <v>313.75768188029565</v>
      </c>
      <c r="I32" s="7" t="str">
        <f>IF(AND(H32&gt;=22.5,H32&lt;=67.5),"TL",IF(AND(H32&gt;=67.5,H32&lt;=112.5),"T",IF(AND(H32&gt;=112.5,H32&lt;=157.5),"TG",IF(AND(H32&gt;=157.5,H32&lt;=202.5),"S",IF(AND(H32&gt;=202.5,H32&lt;=247.5),"BD",IF(AND(H32&gt;=247.5,H32&lt;=292.5),"B",IF(AND(H32&gt;=292.5,H32&lt;=337.5),"BL","U")))))))</f>
        <v>BL</v>
      </c>
      <c r="J32" s="2">
        <f>1.9438444924574*F32</f>
        <v>9.6924577482922949</v>
      </c>
    </row>
    <row r="33" spans="1:10" x14ac:dyDescent="0.25">
      <c r="A33" s="2" t="s">
        <v>56</v>
      </c>
      <c r="B33" s="2">
        <v>112.5</v>
      </c>
      <c r="C33" s="2">
        <v>-9</v>
      </c>
      <c r="D33" s="1">
        <v>2.6</v>
      </c>
      <c r="E33" s="1">
        <v>-1.49</v>
      </c>
      <c r="F33" s="7">
        <f>SQRT((D33^2)+(E33^2))</f>
        <v>2.9966814979239951</v>
      </c>
      <c r="G33" s="7" t="str">
        <f>IF(AND(D33&gt;=0,E33&gt;=0),"K1",IF(AND(D33&gt;=0,E33&lt;=0),"K2",IF(AND(D33&lt;=0,E33&lt;=0),"K3",IF(AND(D33&lt;=0,E33&gt;=0),"K4"))))</f>
        <v>K2</v>
      </c>
      <c r="H33" s="2">
        <f>IF(G33="K1",(ATAN2(D33,E33))*(180/3.14)+180,IF(G33="K2",(ATAN2(D33,E33))*(180/3.14)+360,IF(G33="K3",(ATAN2(D33,E33))*(180/3.14)+0,IF(G33="K4",(ATAN2(D33,E33))*(180/3.14)+180,))))</f>
        <v>330.16885019640944</v>
      </c>
      <c r="I33" s="7" t="str">
        <f>IF(AND(H33&gt;=22.5,H33&lt;=67.5),"TL",IF(AND(H33&gt;=67.5,H33&lt;=112.5),"T",IF(AND(H33&gt;=112.5,H33&lt;=157.5),"TG",IF(AND(H33&gt;=157.5,H33&lt;=202.5),"S",IF(AND(H33&gt;=202.5,H33&lt;=247.5),"BD",IF(AND(H33&gt;=247.5,H33&lt;=292.5),"B",IF(AND(H33&gt;=292.5,H33&lt;=337.5),"BL","U")))))))</f>
        <v>BL</v>
      </c>
      <c r="J33" s="2">
        <f>1.9438444924574*F33</f>
        <v>5.8250828253885496</v>
      </c>
    </row>
    <row r="34" spans="1:10" x14ac:dyDescent="0.25">
      <c r="A34" s="2" t="s">
        <v>57</v>
      </c>
      <c r="B34" s="2">
        <v>112.5</v>
      </c>
      <c r="C34" s="2">
        <v>-9</v>
      </c>
      <c r="D34" s="1">
        <v>3.18</v>
      </c>
      <c r="E34" s="1">
        <v>-3.06</v>
      </c>
      <c r="F34" s="7">
        <f>SQRT((D34^2)+(E34^2))</f>
        <v>4.4131621316239897</v>
      </c>
      <c r="G34" s="7" t="str">
        <f>IF(AND(D34&gt;=0,E34&gt;=0),"K1",IF(AND(D34&gt;=0,E34&lt;=0),"K2",IF(AND(D34&lt;=0,E34&lt;=0),"K3",IF(AND(D34&lt;=0,E34&gt;=0),"K4"))))</f>
        <v>K2</v>
      </c>
      <c r="H34" s="2">
        <f>IF(G34="K1",(ATAN2(D34,E34))*(180/3.14)+180,IF(G34="K2",(ATAN2(D34,E34))*(180/3.14)+360,IF(G34="K3",(ATAN2(D34,E34))*(180/3.14)+0,IF(G34="K4",(ATAN2(D34,E34))*(180/3.14)+180,))))</f>
        <v>316.07944026318683</v>
      </c>
      <c r="I34" s="7" t="str">
        <f>IF(AND(H34&gt;=22.5,H34&lt;=67.5),"TL",IF(AND(H34&gt;=67.5,H34&lt;=112.5),"T",IF(AND(H34&gt;=112.5,H34&lt;=157.5),"TG",IF(AND(H34&gt;=157.5,H34&lt;=202.5),"S",IF(AND(H34&gt;=202.5,H34&lt;=247.5),"BD",IF(AND(H34&gt;=247.5,H34&lt;=292.5),"B",IF(AND(H34&gt;=292.5,H34&lt;=337.5),"BL","U")))))))</f>
        <v>BL</v>
      </c>
      <c r="J34" s="2">
        <f>1.9438444924574*F34</f>
        <v>8.5785009038788527</v>
      </c>
    </row>
    <row r="35" spans="1:10" x14ac:dyDescent="0.25">
      <c r="A35" s="2" t="s">
        <v>58</v>
      </c>
      <c r="B35" s="2">
        <v>112.5</v>
      </c>
      <c r="C35" s="2">
        <v>-9</v>
      </c>
      <c r="D35" s="1">
        <v>2.96</v>
      </c>
      <c r="E35" s="1">
        <v>-3.5</v>
      </c>
      <c r="F35" s="7">
        <f>SQRT((D35^2)+(E35^2))</f>
        <v>4.583841183985327</v>
      </c>
      <c r="G35" s="7" t="str">
        <f>IF(AND(D35&gt;=0,E35&gt;=0),"K1",IF(AND(D35&gt;=0,E35&lt;=0),"K2",IF(AND(D35&lt;=0,E35&lt;=0),"K3",IF(AND(D35&lt;=0,E35&gt;=0),"K4"))))</f>
        <v>K2</v>
      </c>
      <c r="H35" s="2">
        <f>IF(G35="K1",(ATAN2(D35,E35))*(180/3.14)+180,IF(G35="K2",(ATAN2(D35,E35))*(180/3.14)+360,IF(G35="K3",(ATAN2(D35,E35))*(180/3.14)+0,IF(G35="K4",(ATAN2(D35,E35))*(180/3.14)+180,))))</f>
        <v>310.19643008887414</v>
      </c>
      <c r="I35" s="7" t="str">
        <f>IF(AND(H35&gt;=22.5,H35&lt;=67.5),"TL",IF(AND(H35&gt;=67.5,H35&lt;=112.5),"T",IF(AND(H35&gt;=112.5,H35&lt;=157.5),"TG",IF(AND(H35&gt;=157.5,H35&lt;=202.5),"S",IF(AND(H35&gt;=202.5,H35&lt;=247.5),"BD",IF(AND(H35&gt;=247.5,H35&lt;=292.5),"B",IF(AND(H35&gt;=292.5,H35&lt;=337.5),"BL","U")))))))</f>
        <v>BL</v>
      </c>
      <c r="J35" s="2">
        <f>1.9438444924574*F35</f>
        <v>8.9102744397892852</v>
      </c>
    </row>
    <row r="36" spans="1:10" x14ac:dyDescent="0.25">
      <c r="A36" s="2" t="s">
        <v>59</v>
      </c>
      <c r="B36" s="2">
        <v>112.5</v>
      </c>
      <c r="C36" s="2">
        <v>-9</v>
      </c>
      <c r="D36" s="1">
        <v>4.74</v>
      </c>
      <c r="E36" s="1">
        <v>-1.45</v>
      </c>
      <c r="F36" s="7">
        <f>SQRT((D36^2)+(E36^2))</f>
        <v>4.9568235796727729</v>
      </c>
      <c r="G36" s="7" t="str">
        <f>IF(AND(D36&gt;=0,E36&gt;=0),"K1",IF(AND(D36&gt;=0,E36&lt;=0),"K2",IF(AND(D36&lt;=0,E36&lt;=0),"K3",IF(AND(D36&lt;=0,E36&gt;=0),"K4"))))</f>
        <v>K2</v>
      </c>
      <c r="H36" s="2">
        <f>IF(G36="K1",(ATAN2(D36,E36))*(180/3.14)+180,IF(G36="K2",(ATAN2(D36,E36))*(180/3.14)+360,IF(G36="K3",(ATAN2(D36,E36))*(180/3.14)+0,IF(G36="K4",(ATAN2(D36,E36))*(180/3.14)+180,))))</f>
        <v>342.9821253038449</v>
      </c>
      <c r="I36" s="7" t="str">
        <f>IF(AND(H36&gt;=22.5,H36&lt;=67.5),"TL",IF(AND(H36&gt;=67.5,H36&lt;=112.5),"T",IF(AND(H36&gt;=112.5,H36&lt;=157.5),"TG",IF(AND(H36&gt;=157.5,H36&lt;=202.5),"S",IF(AND(H36&gt;=202.5,H36&lt;=247.5),"BD",IF(AND(H36&gt;=247.5,H36&lt;=292.5),"B",IF(AND(H36&gt;=292.5,H36&lt;=337.5),"BL","U")))))))</f>
        <v>U</v>
      </c>
      <c r="J36" s="2">
        <f>1.9438444924574*F36</f>
        <v>9.6352942154298944</v>
      </c>
    </row>
    <row r="37" spans="1:10" x14ac:dyDescent="0.25">
      <c r="A37" s="2" t="s">
        <v>60</v>
      </c>
      <c r="B37" s="2">
        <v>112.5</v>
      </c>
      <c r="C37" s="2">
        <v>-9</v>
      </c>
      <c r="D37" s="1">
        <v>4.66</v>
      </c>
      <c r="E37" s="1">
        <v>-2.91</v>
      </c>
      <c r="F37" s="7">
        <f>SQRT((D37^2)+(E37^2))</f>
        <v>5.4939694211016503</v>
      </c>
      <c r="G37" s="7" t="str">
        <f>IF(AND(D37&gt;=0,E37&gt;=0),"K1",IF(AND(D37&gt;=0,E37&lt;=0),"K2",IF(AND(D37&lt;=0,E37&lt;=0),"K3",IF(AND(D37&lt;=0,E37&gt;=0),"K4"))))</f>
        <v>K2</v>
      </c>
      <c r="H37" s="2">
        <f>IF(G37="K1",(ATAN2(D37,E37))*(180/3.14)+180,IF(G37="K2",(ATAN2(D37,E37))*(180/3.14)+360,IF(G37="K3",(ATAN2(D37,E37))*(180/3.14)+0,IF(G37="K4",(ATAN2(D37,E37))*(180/3.14)+180,))))</f>
        <v>328.00050352791703</v>
      </c>
      <c r="I37" s="7" t="str">
        <f>IF(AND(H37&gt;=22.5,H37&lt;=67.5),"TL",IF(AND(H37&gt;=67.5,H37&lt;=112.5),"T",IF(AND(H37&gt;=112.5,H37&lt;=157.5),"TG",IF(AND(H37&gt;=157.5,H37&lt;=202.5),"S",IF(AND(H37&gt;=202.5,H37&lt;=247.5),"BD",IF(AND(H37&gt;=247.5,H37&lt;=292.5),"B",IF(AND(H37&gt;=292.5,H37&lt;=337.5),"BL","U")))))))</f>
        <v>BL</v>
      </c>
      <c r="J37" s="2">
        <f>1.9438444924574*F37</f>
        <v>10.679422200937815</v>
      </c>
    </row>
    <row r="38" spans="1:10" x14ac:dyDescent="0.25">
      <c r="A38" s="2" t="s">
        <v>61</v>
      </c>
      <c r="B38" s="2">
        <v>112.5</v>
      </c>
      <c r="C38" s="2">
        <v>-9</v>
      </c>
      <c r="D38" s="1">
        <v>4.83</v>
      </c>
      <c r="E38" s="1">
        <v>-3.4</v>
      </c>
      <c r="F38" s="7">
        <f>SQRT((D38^2)+(E38^2))</f>
        <v>5.9066826561107888</v>
      </c>
      <c r="G38" s="7" t="str">
        <f>IF(AND(D38&gt;=0,E38&gt;=0),"K1",IF(AND(D38&gt;=0,E38&lt;=0),"K2",IF(AND(D38&lt;=0,E38&lt;=0),"K3",IF(AND(D38&lt;=0,E38&gt;=0),"K4"))))</f>
        <v>K2</v>
      </c>
      <c r="H38" s="2">
        <f>IF(G38="K1",(ATAN2(D38,E38))*(180/3.14)+180,IF(G38="K2",(ATAN2(D38,E38))*(180/3.14)+360,IF(G38="K3",(ATAN2(D38,E38))*(180/3.14)+0,IF(G38="K4",(ATAN2(D38,E38))*(180/3.14)+180,))))</f>
        <v>324.83916761629303</v>
      </c>
      <c r="I38" s="7" t="str">
        <f>IF(AND(H38&gt;=22.5,H38&lt;=67.5),"TL",IF(AND(H38&gt;=67.5,H38&lt;=112.5),"T",IF(AND(H38&gt;=112.5,H38&lt;=157.5),"TG",IF(AND(H38&gt;=157.5,H38&lt;=202.5),"S",IF(AND(H38&gt;=202.5,H38&lt;=247.5),"BD",IF(AND(H38&gt;=247.5,H38&lt;=292.5),"B",IF(AND(H38&gt;=292.5,H38&lt;=337.5),"BL","U")))))))</f>
        <v>BL</v>
      </c>
      <c r="J38" s="2">
        <f>1.9438444924574*F38</f>
        <v>11.481672549774604</v>
      </c>
    </row>
    <row r="39" spans="1:10" x14ac:dyDescent="0.25">
      <c r="A39" s="2" t="s">
        <v>62</v>
      </c>
      <c r="B39" s="2">
        <v>112.5</v>
      </c>
      <c r="C39" s="2">
        <v>-9</v>
      </c>
      <c r="D39" s="1">
        <v>5.9</v>
      </c>
      <c r="E39" s="1">
        <v>-4.26</v>
      </c>
      <c r="F39" s="7">
        <f>SQRT((D39^2)+(E39^2))</f>
        <v>7.2771972626829351</v>
      </c>
      <c r="G39" s="7" t="str">
        <f>IF(AND(D39&gt;=0,E39&gt;=0),"K1",IF(AND(D39&gt;=0,E39&lt;=0),"K2",IF(AND(D39&lt;=0,E39&lt;=0),"K3",IF(AND(D39&lt;=0,E39&gt;=0),"K4"))))</f>
        <v>K2</v>
      </c>
      <c r="H39" s="2">
        <f>IF(G39="K1",(ATAN2(D39,E39))*(180/3.14)+180,IF(G39="K2",(ATAN2(D39,E39))*(180/3.14)+360,IF(G39="K3",(ATAN2(D39,E39))*(180/3.14)+0,IF(G39="K4",(ATAN2(D39,E39))*(180/3.14)+180,))))</f>
        <v>324.1512652044496</v>
      </c>
      <c r="I39" s="7" t="str">
        <f>IF(AND(H39&gt;=22.5,H39&lt;=67.5),"TL",IF(AND(H39&gt;=67.5,H39&lt;=112.5),"T",IF(AND(H39&gt;=112.5,H39&lt;=157.5),"TG",IF(AND(H39&gt;=157.5,H39&lt;=202.5),"S",IF(AND(H39&gt;=202.5,H39&lt;=247.5),"BD",IF(AND(H39&gt;=247.5,H39&lt;=292.5),"B",IF(AND(H39&gt;=292.5,H39&lt;=337.5),"BL","U")))))))</f>
        <v>BL</v>
      </c>
      <c r="J39" s="2">
        <f>1.9438444924574*F39</f>
        <v>14.145739819592292</v>
      </c>
    </row>
    <row r="40" spans="1:10" x14ac:dyDescent="0.25">
      <c r="A40" s="2" t="s">
        <v>63</v>
      </c>
      <c r="B40" s="2">
        <v>112.5</v>
      </c>
      <c r="C40" s="2">
        <v>-9</v>
      </c>
      <c r="D40" s="1">
        <v>6.5</v>
      </c>
      <c r="E40" s="1">
        <v>-2.68</v>
      </c>
      <c r="F40" s="7">
        <f>SQRT((D40^2)+(E40^2))</f>
        <v>7.0308178756102055</v>
      </c>
      <c r="G40" s="7" t="str">
        <f>IF(AND(D40&gt;=0,E40&gt;=0),"K1",IF(AND(D40&gt;=0,E40&lt;=0),"K2",IF(AND(D40&lt;=0,E40&lt;=0),"K3",IF(AND(D40&lt;=0,E40&gt;=0),"K4"))))</f>
        <v>K2</v>
      </c>
      <c r="H40" s="2">
        <f>IF(G40="K1",(ATAN2(D40,E40))*(180/3.14)+180,IF(G40="K2",(ATAN2(D40,E40))*(180/3.14)+360,IF(G40="K3",(ATAN2(D40,E40))*(180/3.14)+0,IF(G40="K4",(ATAN2(D40,E40))*(180/3.14)+180,))))</f>
        <v>337.58190433459629</v>
      </c>
      <c r="I40" s="7" t="str">
        <f>IF(AND(H40&gt;=22.5,H40&lt;=67.5),"TL",IF(AND(H40&gt;=67.5,H40&lt;=112.5),"T",IF(AND(H40&gt;=112.5,H40&lt;=157.5),"TG",IF(AND(H40&gt;=157.5,H40&lt;=202.5),"S",IF(AND(H40&gt;=202.5,H40&lt;=247.5),"BD",IF(AND(H40&gt;=247.5,H40&lt;=292.5),"B",IF(AND(H40&gt;=292.5,H40&lt;=337.5),"BL","U")))))))</f>
        <v>U</v>
      </c>
      <c r="J40" s="2">
        <f>1.9438444924574*F40</f>
        <v>13.666816604975937</v>
      </c>
    </row>
    <row r="41" spans="1:10" x14ac:dyDescent="0.25">
      <c r="A41" s="2" t="s">
        <v>64</v>
      </c>
      <c r="B41" s="2">
        <v>112.5</v>
      </c>
      <c r="C41" s="2">
        <v>-9</v>
      </c>
      <c r="D41" s="1">
        <v>5.28</v>
      </c>
      <c r="E41" s="1">
        <v>-2.5099999999999998</v>
      </c>
      <c r="F41" s="7">
        <f>SQRT((D41^2)+(E41^2))</f>
        <v>5.8462381066802269</v>
      </c>
      <c r="G41" s="7" t="str">
        <f>IF(AND(D41&gt;=0,E41&gt;=0),"K1",IF(AND(D41&gt;=0,E41&lt;=0),"K2",IF(AND(D41&lt;=0,E41&lt;=0),"K3",IF(AND(D41&lt;=0,E41&gt;=0),"K4"))))</f>
        <v>K2</v>
      </c>
      <c r="H41" s="2">
        <f>IF(G41="K1",(ATAN2(D41,E41))*(180/3.14)+180,IF(G41="K2",(ATAN2(D41,E41))*(180/3.14)+360,IF(G41="K3",(ATAN2(D41,E41))*(180/3.14)+0,IF(G41="K4",(ATAN2(D41,E41))*(180/3.14)+180,))))</f>
        <v>334.56168069023641</v>
      </c>
      <c r="I41" s="7" t="str">
        <f>IF(AND(H41&gt;=22.5,H41&lt;=67.5),"TL",IF(AND(H41&gt;=67.5,H41&lt;=112.5),"T",IF(AND(H41&gt;=112.5,H41&lt;=157.5),"TG",IF(AND(H41&gt;=157.5,H41&lt;=202.5),"S",IF(AND(H41&gt;=202.5,H41&lt;=247.5),"BD",IF(AND(H41&gt;=247.5,H41&lt;=292.5),"B",IF(AND(H41&gt;=292.5,H41&lt;=337.5),"BL","U")))))))</f>
        <v>BL</v>
      </c>
      <c r="J41" s="2">
        <f>1.9438444924574*F41</f>
        <v>11.364177745264938</v>
      </c>
    </row>
    <row r="42" spans="1:10" x14ac:dyDescent="0.25">
      <c r="A42" s="2" t="s">
        <v>65</v>
      </c>
      <c r="B42" s="2">
        <v>112.5</v>
      </c>
      <c r="C42" s="2">
        <v>-9</v>
      </c>
      <c r="D42" s="1">
        <v>5.03</v>
      </c>
      <c r="E42" s="1">
        <v>-2.0099999999999998</v>
      </c>
      <c r="F42" s="7">
        <f>SQRT((D42^2)+(E42^2))</f>
        <v>5.4167333329230818</v>
      </c>
      <c r="G42" s="7" t="str">
        <f>IF(AND(D42&gt;=0,E42&gt;=0),"K1",IF(AND(D42&gt;=0,E42&lt;=0),"K2",IF(AND(D42&lt;=0,E42&lt;=0),"K3",IF(AND(D42&lt;=0,E42&gt;=0),"K4"))))</f>
        <v>K2</v>
      </c>
      <c r="H42" s="2">
        <f>IF(G42="K1",(ATAN2(D42,E42))*(180/3.14)+180,IF(G42="K2",(ATAN2(D42,E42))*(180/3.14)+360,IF(G42="K3",(ATAN2(D42,E42))*(180/3.14)+0,IF(G42="K4",(ATAN2(D42,E42))*(180/3.14)+180,))))</f>
        <v>338.20718450662929</v>
      </c>
      <c r="I42" s="7" t="str">
        <f>IF(AND(H42&gt;=22.5,H42&lt;=67.5),"TL",IF(AND(H42&gt;=67.5,H42&lt;=112.5),"T",IF(AND(H42&gt;=112.5,H42&lt;=157.5),"TG",IF(AND(H42&gt;=157.5,H42&lt;=202.5),"S",IF(AND(H42&gt;=202.5,H42&lt;=247.5),"BD",IF(AND(H42&gt;=247.5,H42&lt;=292.5),"B",IF(AND(H42&gt;=292.5,H42&lt;=337.5),"BL","U")))))))</f>
        <v>U</v>
      </c>
      <c r="J42" s="2">
        <f>1.9438444924574*F42</f>
        <v>10.52928725631295</v>
      </c>
    </row>
    <row r="43" spans="1:10" x14ac:dyDescent="0.25">
      <c r="A43" s="2" t="s">
        <v>66</v>
      </c>
      <c r="B43" s="2">
        <v>112.5</v>
      </c>
      <c r="C43" s="2">
        <v>-9</v>
      </c>
      <c r="D43" s="1">
        <v>6.33</v>
      </c>
      <c r="E43" s="1">
        <v>-2.93</v>
      </c>
      <c r="F43" s="7">
        <f>SQRT((D43^2)+(E43^2))</f>
        <v>6.9752275948530889</v>
      </c>
      <c r="G43" s="7" t="str">
        <f>IF(AND(D43&gt;=0,E43&gt;=0),"K1",IF(AND(D43&gt;=0,E43&lt;=0),"K2",IF(AND(D43&lt;=0,E43&lt;=0),"K3",IF(AND(D43&lt;=0,E43&gt;=0),"K4"))))</f>
        <v>K2</v>
      </c>
      <c r="H43" s="2">
        <f>IF(G43="K1",(ATAN2(D43,E43))*(180/3.14)+180,IF(G43="K2",(ATAN2(D43,E43))*(180/3.14)+360,IF(G43="K3",(ATAN2(D43,E43))*(180/3.14)+0,IF(G43="K4",(ATAN2(D43,E43))*(180/3.14)+180,))))</f>
        <v>335.14915373962413</v>
      </c>
      <c r="I43" s="7" t="str">
        <f>IF(AND(H43&gt;=22.5,H43&lt;=67.5),"TL",IF(AND(H43&gt;=67.5,H43&lt;=112.5),"T",IF(AND(H43&gt;=112.5,H43&lt;=157.5),"TG",IF(AND(H43&gt;=157.5,H43&lt;=202.5),"S",IF(AND(H43&gt;=202.5,H43&lt;=247.5),"BD",IF(AND(H43&gt;=247.5,H43&lt;=292.5),"B",IF(AND(H43&gt;=292.5,H43&lt;=337.5),"BL","U")))))))</f>
        <v>BL</v>
      </c>
      <c r="J43" s="2">
        <f>1.9438444924574*F43</f>
        <v>13.558757743892054</v>
      </c>
    </row>
    <row r="44" spans="1:10" x14ac:dyDescent="0.25">
      <c r="A44" s="2" t="s">
        <v>67</v>
      </c>
      <c r="B44" s="2">
        <v>112.5</v>
      </c>
      <c r="C44" s="2">
        <v>-9</v>
      </c>
      <c r="D44" s="1">
        <v>5.9</v>
      </c>
      <c r="E44" s="1">
        <v>-1.69</v>
      </c>
      <c r="F44" s="7">
        <f>SQRT((D44^2)+(E44^2))</f>
        <v>6.1372713806707297</v>
      </c>
      <c r="G44" s="7" t="str">
        <f>IF(AND(D44&gt;=0,E44&gt;=0),"K1",IF(AND(D44&gt;=0,E44&lt;=0),"K2",IF(AND(D44&lt;=0,E44&lt;=0),"K3",IF(AND(D44&lt;=0,E44&gt;=0),"K4"))))</f>
        <v>K2</v>
      </c>
      <c r="H44" s="2">
        <f>IF(G44="K1",(ATAN2(D44,E44))*(180/3.14)+180,IF(G44="K2",(ATAN2(D44,E44))*(180/3.14)+360,IF(G44="K3",(ATAN2(D44,E44))*(180/3.14)+0,IF(G44="K4",(ATAN2(D44,E44))*(180/3.14)+180,))))</f>
        <v>344.00802609945879</v>
      </c>
      <c r="I44" s="7" t="str">
        <f>IF(AND(H44&gt;=22.5,H44&lt;=67.5),"TL",IF(AND(H44&gt;=67.5,H44&lt;=112.5),"T",IF(AND(H44&gt;=112.5,H44&lt;=157.5),"TG",IF(AND(H44&gt;=157.5,H44&lt;=202.5),"S",IF(AND(H44&gt;=202.5,H44&lt;=247.5),"BD",IF(AND(H44&gt;=247.5,H44&lt;=292.5),"B",IF(AND(H44&gt;=292.5,H44&lt;=337.5),"BL","U")))))))</f>
        <v>U</v>
      </c>
      <c r="J44" s="2">
        <f>1.9438444924574*F44</f>
        <v>11.929901172033222</v>
      </c>
    </row>
    <row r="45" spans="1:10" x14ac:dyDescent="0.25">
      <c r="A45" s="2" t="s">
        <v>68</v>
      </c>
      <c r="B45" s="2">
        <v>112.5</v>
      </c>
      <c r="C45" s="2">
        <v>-9</v>
      </c>
      <c r="D45" s="1">
        <v>6.74</v>
      </c>
      <c r="E45" s="1">
        <v>-2.33</v>
      </c>
      <c r="F45" s="7">
        <f>SQRT((D45^2)+(E45^2))</f>
        <v>7.1313743415978381</v>
      </c>
      <c r="G45" s="7" t="str">
        <f>IF(AND(D45&gt;=0,E45&gt;=0),"K1",IF(AND(D45&gt;=0,E45&lt;=0),"K2",IF(AND(D45&lt;=0,E45&lt;=0),"K3",IF(AND(D45&lt;=0,E45&gt;=0),"K4"))))</f>
        <v>K2</v>
      </c>
      <c r="H45" s="2">
        <f>IF(G45="K1",(ATAN2(D45,E45))*(180/3.14)+180,IF(G45="K2",(ATAN2(D45,E45))*(180/3.14)+360,IF(G45="K3",(ATAN2(D45,E45))*(180/3.14)+0,IF(G45="K4",(ATAN2(D45,E45))*(180/3.14)+180,))))</f>
        <v>340.92019635370559</v>
      </c>
      <c r="I45" s="7" t="str">
        <f>IF(AND(H45&gt;=22.5,H45&lt;=67.5),"TL",IF(AND(H45&gt;=67.5,H45&lt;=112.5),"T",IF(AND(H45&gt;=112.5,H45&lt;=157.5),"TG",IF(AND(H45&gt;=157.5,H45&lt;=202.5),"S",IF(AND(H45&gt;=202.5,H45&lt;=247.5),"BD",IF(AND(H45&gt;=247.5,H45&lt;=292.5),"B",IF(AND(H45&gt;=292.5,H45&lt;=337.5),"BL","U")))))))</f>
        <v>U</v>
      </c>
      <c r="J45" s="2">
        <f>1.9438444924574*F45</f>
        <v>13.862282737566975</v>
      </c>
    </row>
    <row r="46" spans="1:10" x14ac:dyDescent="0.25">
      <c r="A46" s="2" t="s">
        <v>69</v>
      </c>
      <c r="B46" s="2">
        <v>112.5</v>
      </c>
      <c r="C46" s="2">
        <v>-9</v>
      </c>
      <c r="D46" s="1">
        <v>6.35</v>
      </c>
      <c r="E46" s="1">
        <v>-3.21</v>
      </c>
      <c r="F46" s="7">
        <f>SQRT((D46^2)+(E46^2))</f>
        <v>7.1152371710295084</v>
      </c>
      <c r="G46" s="7" t="str">
        <f>IF(AND(D46&gt;=0,E46&gt;=0),"K1",IF(AND(D46&gt;=0,E46&lt;=0),"K2",IF(AND(D46&lt;=0,E46&lt;=0),"K3",IF(AND(D46&lt;=0,E46&gt;=0),"K4"))))</f>
        <v>K2</v>
      </c>
      <c r="H46" s="2">
        <f>IF(G46="K1",(ATAN2(D46,E46))*(180/3.14)+180,IF(G46="K2",(ATAN2(D46,E46))*(180/3.14)+360,IF(G46="K3",(ATAN2(D46,E46))*(180/3.14)+0,IF(G46="K4",(ATAN2(D46,E46))*(180/3.14)+180,))))</f>
        <v>333.16926138360395</v>
      </c>
      <c r="I46" s="7" t="str">
        <f>IF(AND(H46&gt;=22.5,H46&lt;=67.5),"TL",IF(AND(H46&gt;=67.5,H46&lt;=112.5),"T",IF(AND(H46&gt;=112.5,H46&lt;=157.5),"TG",IF(AND(H46&gt;=157.5,H46&lt;=202.5),"S",IF(AND(H46&gt;=202.5,H46&lt;=247.5),"BD",IF(AND(H46&gt;=247.5,H46&lt;=292.5),"B",IF(AND(H46&gt;=292.5,H46&lt;=337.5),"BL","U")))))))</f>
        <v>BL</v>
      </c>
      <c r="J46" s="2">
        <f>1.9438444924574*F46</f>
        <v>13.830914587433883</v>
      </c>
    </row>
    <row r="47" spans="1:10" x14ac:dyDescent="0.25">
      <c r="A47" s="2" t="s">
        <v>70</v>
      </c>
      <c r="B47" s="2">
        <v>112.5</v>
      </c>
      <c r="C47" s="2">
        <v>-9</v>
      </c>
      <c r="D47" s="1">
        <v>4.6100000000000003</v>
      </c>
      <c r="E47" s="1">
        <v>-3.11</v>
      </c>
      <c r="F47" s="7">
        <f>SQRT((D47^2)+(E47^2))</f>
        <v>5.5609531557099094</v>
      </c>
      <c r="G47" s="7" t="str">
        <f>IF(AND(D47&gt;=0,E47&gt;=0),"K1",IF(AND(D47&gt;=0,E47&lt;=0),"K2",IF(AND(D47&lt;=0,E47&lt;=0),"K3",IF(AND(D47&lt;=0,E47&gt;=0),"K4"))))</f>
        <v>K2</v>
      </c>
      <c r="H47" s="2">
        <f>IF(G47="K1",(ATAN2(D47,E47))*(180/3.14)+180,IF(G47="K2",(ATAN2(D47,E47))*(180/3.14)+360,IF(G47="K3",(ATAN2(D47,E47))*(180/3.14)+0,IF(G47="K4",(ATAN2(D47,E47))*(180/3.14)+180,))))</f>
        <v>325.97834716471118</v>
      </c>
      <c r="I47" s="7" t="str">
        <f>IF(AND(H47&gt;=22.5,H47&lt;=67.5),"TL",IF(AND(H47&gt;=67.5,H47&lt;=112.5),"T",IF(AND(H47&gt;=112.5,H47&lt;=157.5),"TG",IF(AND(H47&gt;=157.5,H47&lt;=202.5),"S",IF(AND(H47&gt;=202.5,H47&lt;=247.5),"BD",IF(AND(H47&gt;=247.5,H47&lt;=292.5),"B",IF(AND(H47&gt;=292.5,H47&lt;=337.5),"BL","U")))))))</f>
        <v>BL</v>
      </c>
      <c r="J47" s="2">
        <f>1.9438444924574*F47</f>
        <v>10.809628164540307</v>
      </c>
    </row>
    <row r="48" spans="1:10" x14ac:dyDescent="0.25">
      <c r="A48" s="2" t="s">
        <v>71</v>
      </c>
      <c r="B48" s="2">
        <v>112.5</v>
      </c>
      <c r="C48" s="2">
        <v>-9</v>
      </c>
      <c r="D48" s="1">
        <v>4.66</v>
      </c>
      <c r="E48" s="1">
        <v>-1.49</v>
      </c>
      <c r="F48" s="7">
        <f>SQRT((D48^2)+(E48^2))</f>
        <v>4.8924124928300969</v>
      </c>
      <c r="G48" s="7" t="str">
        <f>IF(AND(D48&gt;=0,E48&gt;=0),"K1",IF(AND(D48&gt;=0,E48&lt;=0),"K2",IF(AND(D48&lt;=0,E48&lt;=0),"K3",IF(AND(D48&lt;=0,E48&gt;=0),"K4"))))</f>
        <v>K2</v>
      </c>
      <c r="H48" s="2">
        <f>IF(G48="K1",(ATAN2(D48,E48))*(180/3.14)+180,IF(G48="K2",(ATAN2(D48,E48))*(180/3.14)+360,IF(G48="K3",(ATAN2(D48,E48))*(180/3.14)+0,IF(G48="K4",(ATAN2(D48,E48))*(180/3.14)+180,))))</f>
        <v>342.25971958808572</v>
      </c>
      <c r="I48" s="7" t="str">
        <f>IF(AND(H48&gt;=22.5,H48&lt;=67.5),"TL",IF(AND(H48&gt;=67.5,H48&lt;=112.5),"T",IF(AND(H48&gt;=112.5,H48&lt;=157.5),"TG",IF(AND(H48&gt;=157.5,H48&lt;=202.5),"S",IF(AND(H48&gt;=202.5,H48&lt;=247.5),"BD",IF(AND(H48&gt;=247.5,H48&lt;=292.5),"B",IF(AND(H48&gt;=292.5,H48&lt;=337.5),"BL","U")))))))</f>
        <v>U</v>
      </c>
      <c r="J48" s="2">
        <f>1.9438444924574*F48</f>
        <v>9.510089079017563</v>
      </c>
    </row>
    <row r="49" spans="1:10" x14ac:dyDescent="0.25">
      <c r="A49" s="2" t="s">
        <v>72</v>
      </c>
      <c r="B49" s="2">
        <v>112.5</v>
      </c>
      <c r="C49" s="2">
        <v>-9</v>
      </c>
      <c r="D49" s="1">
        <v>5.36</v>
      </c>
      <c r="E49" s="1">
        <v>-0.56999999999999995</v>
      </c>
      <c r="F49" s="7">
        <f>SQRT((D49^2)+(E49^2))</f>
        <v>5.3902226299105687</v>
      </c>
      <c r="G49" s="7" t="str">
        <f>IF(AND(D49&gt;=0,E49&gt;=0),"K1",IF(AND(D49&gt;=0,E49&lt;=0),"K2",IF(AND(D49&lt;=0,E49&lt;=0),"K3",IF(AND(D49&lt;=0,E49&gt;=0),"K4"))))</f>
        <v>K2</v>
      </c>
      <c r="H49" s="2">
        <f>IF(G49="K1",(ATAN2(D49,E49))*(180/3.14)+180,IF(G49="K2",(ATAN2(D49,E49))*(180/3.14)+360,IF(G49="K3",(ATAN2(D49,E49))*(180/3.14)+0,IF(G49="K4",(ATAN2(D49,E49))*(180/3.14)+180,))))</f>
        <v>353.92671361717441</v>
      </c>
      <c r="I49" s="7" t="str">
        <f>IF(AND(H49&gt;=22.5,H49&lt;=67.5),"TL",IF(AND(H49&gt;=67.5,H49&lt;=112.5),"T",IF(AND(H49&gt;=112.5,H49&lt;=157.5),"TG",IF(AND(H49&gt;=157.5,H49&lt;=202.5),"S",IF(AND(H49&gt;=202.5,H49&lt;=247.5),"BD",IF(AND(H49&gt;=247.5,H49&lt;=292.5),"B",IF(AND(H49&gt;=292.5,H49&lt;=337.5),"BL","U")))))))</f>
        <v>U</v>
      </c>
      <c r="J49" s="2">
        <f>1.9438444924574*F49</f>
        <v>10.477754572270902</v>
      </c>
    </row>
    <row r="50" spans="1:10" x14ac:dyDescent="0.25">
      <c r="A50" s="2" t="s">
        <v>73</v>
      </c>
      <c r="B50" s="2">
        <v>112.5</v>
      </c>
      <c r="C50" s="2">
        <v>-9</v>
      </c>
      <c r="D50" s="1">
        <v>4.0599999999999996</v>
      </c>
      <c r="E50" s="1">
        <v>-3.63</v>
      </c>
      <c r="F50" s="7">
        <f>SQRT((D50^2)+(E50^2))</f>
        <v>5.4461454258952724</v>
      </c>
      <c r="G50" s="7" t="str">
        <f>IF(AND(D50&gt;=0,E50&gt;=0),"K1",IF(AND(D50&gt;=0,E50&lt;=0),"K2",IF(AND(D50&lt;=0,E50&lt;=0),"K3",IF(AND(D50&lt;=0,E50&gt;=0),"K4"))))</f>
        <v>K2</v>
      </c>
      <c r="H50" s="2">
        <f>IF(G50="K1",(ATAN2(D50,E50))*(180/3.14)+180,IF(G50="K2",(ATAN2(D50,E50))*(180/3.14)+360,IF(G50="K3",(ATAN2(D50,E50))*(180/3.14)+0,IF(G50="K4",(ATAN2(D50,E50))*(180/3.14)+180,))))</f>
        <v>318.17926104425743</v>
      </c>
      <c r="I50" s="7" t="str">
        <f>IF(AND(H50&gt;=22.5,H50&lt;=67.5),"TL",IF(AND(H50&gt;=67.5,H50&lt;=112.5),"T",IF(AND(H50&gt;=112.5,H50&lt;=157.5),"TG",IF(AND(H50&gt;=157.5,H50&lt;=202.5),"S",IF(AND(H50&gt;=202.5,H50&lt;=247.5),"BD",IF(AND(H50&gt;=247.5,H50&lt;=292.5),"B",IF(AND(H50&gt;=292.5,H50&lt;=337.5),"BL","U")))))))</f>
        <v>BL</v>
      </c>
      <c r="J50" s="2">
        <f>1.9438444924574*F50</f>
        <v>10.586459791248586</v>
      </c>
    </row>
    <row r="51" spans="1:10" x14ac:dyDescent="0.25">
      <c r="A51" s="2" t="s">
        <v>74</v>
      </c>
      <c r="B51" s="2">
        <v>112.5</v>
      </c>
      <c r="C51" s="2">
        <v>-9</v>
      </c>
      <c r="D51" s="1">
        <v>2.99</v>
      </c>
      <c r="E51" s="1">
        <v>-2.72</v>
      </c>
      <c r="F51" s="7">
        <f>SQRT((D51^2)+(E51^2))</f>
        <v>4.0420910430122676</v>
      </c>
      <c r="G51" s="7" t="str">
        <f>IF(AND(D51&gt;=0,E51&gt;=0),"K1",IF(AND(D51&gt;=0,E51&lt;=0),"K2",IF(AND(D51&lt;=0,E51&lt;=0),"K3",IF(AND(D51&lt;=0,E51&gt;=0),"K4"))))</f>
        <v>K2</v>
      </c>
      <c r="H51" s="2">
        <f>IF(G51="K1",(ATAN2(D51,E51))*(180/3.14)+180,IF(G51="K2",(ATAN2(D51,E51))*(180/3.14)+360,IF(G51="K3",(ATAN2(D51,E51))*(180/3.14)+0,IF(G51="K4",(ATAN2(D51,E51))*(180/3.14)+180,))))</f>
        <v>317.68578950500978</v>
      </c>
      <c r="I51" s="7" t="str">
        <f>IF(AND(H51&gt;=22.5,H51&lt;=67.5),"TL",IF(AND(H51&gt;=67.5,H51&lt;=112.5),"T",IF(AND(H51&gt;=112.5,H51&lt;=157.5),"TG",IF(AND(H51&gt;=157.5,H51&lt;=202.5),"S",IF(AND(H51&gt;=202.5,H51&lt;=247.5),"BD",IF(AND(H51&gt;=247.5,H51&lt;=292.5),"B",IF(AND(H51&gt;=292.5,H51&lt;=337.5),"BL","U")))))))</f>
        <v>BL</v>
      </c>
      <c r="J51" s="2">
        <f>1.9438444924574*F51</f>
        <v>7.8571964119707847</v>
      </c>
    </row>
    <row r="52" spans="1:10" x14ac:dyDescent="0.25">
      <c r="A52" s="2" t="s">
        <v>75</v>
      </c>
      <c r="B52" s="2">
        <v>112.5</v>
      </c>
      <c r="C52" s="2">
        <v>-9</v>
      </c>
      <c r="D52" s="1">
        <v>3.84</v>
      </c>
      <c r="E52" s="1">
        <v>-1.04</v>
      </c>
      <c r="F52" s="7">
        <f>SQRT((D52^2)+(E52^2))</f>
        <v>3.9783413629300339</v>
      </c>
      <c r="G52" s="7" t="str">
        <f>IF(AND(D52&gt;=0,E52&gt;=0),"K1",IF(AND(D52&gt;=0,E52&lt;=0),"K2",IF(AND(D52&lt;=0,E52&lt;=0),"K3",IF(AND(D52&lt;=0,E52&gt;=0),"K4"))))</f>
        <v>K2</v>
      </c>
      <c r="H52" s="2">
        <f>IF(G52="K1",(ATAN2(D52,E52))*(180/3.14)+180,IF(G52="K2",(ATAN2(D52,E52))*(180/3.14)+360,IF(G52="K3",(ATAN2(D52,E52))*(180/3.14)+0,IF(G52="K4",(ATAN2(D52,E52))*(180/3.14)+180,))))</f>
        <v>344.83824558634973</v>
      </c>
      <c r="I52" s="7" t="str">
        <f>IF(AND(H52&gt;=22.5,H52&lt;=67.5),"TL",IF(AND(H52&gt;=67.5,H52&lt;=112.5),"T",IF(AND(H52&gt;=112.5,H52&lt;=157.5),"TG",IF(AND(H52&gt;=157.5,H52&lt;=202.5),"S",IF(AND(H52&gt;=202.5,H52&lt;=247.5),"BD",IF(AND(H52&gt;=247.5,H52&lt;=292.5),"B",IF(AND(H52&gt;=292.5,H52&lt;=337.5),"BL","U")))))))</f>
        <v>U</v>
      </c>
      <c r="J52" s="2">
        <f>1.9438444924574*F52</f>
        <v>7.7332769474470133</v>
      </c>
    </row>
    <row r="53" spans="1:10" x14ac:dyDescent="0.25">
      <c r="A53" s="2" t="s">
        <v>76</v>
      </c>
      <c r="B53" s="2">
        <v>112.5</v>
      </c>
      <c r="C53" s="2">
        <v>-9</v>
      </c>
      <c r="D53" s="1">
        <v>3.64</v>
      </c>
      <c r="E53" s="1">
        <v>-1.25</v>
      </c>
      <c r="F53" s="7">
        <f>SQRT((D53^2)+(E53^2))</f>
        <v>3.8486491136501391</v>
      </c>
      <c r="G53" s="7" t="str">
        <f>IF(AND(D53&gt;=0,E53&gt;=0),"K1",IF(AND(D53&gt;=0,E53&lt;=0),"K2",IF(AND(D53&lt;=0,E53&lt;=0),"K3",IF(AND(D53&lt;=0,E53&gt;=0),"K4"))))</f>
        <v>K2</v>
      </c>
      <c r="H53" s="2">
        <f>IF(G53="K1",(ATAN2(D53,E53))*(180/3.14)+180,IF(G53="K2",(ATAN2(D53,E53))*(180/3.14)+360,IF(G53="K3",(ATAN2(D53,E53))*(180/3.14)+0,IF(G53="K4",(ATAN2(D53,E53))*(180/3.14)+180,))))</f>
        <v>341.03757738592168</v>
      </c>
      <c r="I53" s="7" t="str">
        <f>IF(AND(H53&gt;=22.5,H53&lt;=67.5),"TL",IF(AND(H53&gt;=67.5,H53&lt;=112.5),"T",IF(AND(H53&gt;=112.5,H53&lt;=157.5),"TG",IF(AND(H53&gt;=157.5,H53&lt;=202.5),"S",IF(AND(H53&gt;=202.5,H53&lt;=247.5),"BD",IF(AND(H53&gt;=247.5,H53&lt;=292.5),"B",IF(AND(H53&gt;=292.5,H53&lt;=337.5),"BL","U")))))))</f>
        <v>U</v>
      </c>
      <c r="J53" s="2">
        <f>1.9438444924574*F53</f>
        <v>7.4811753829698775</v>
      </c>
    </row>
    <row r="54" spans="1:10" x14ac:dyDescent="0.25">
      <c r="A54" s="2" t="s">
        <v>77</v>
      </c>
      <c r="B54" s="2">
        <v>112.5</v>
      </c>
      <c r="C54" s="2">
        <v>-9</v>
      </c>
      <c r="D54" s="1">
        <v>4.97</v>
      </c>
      <c r="E54" s="1">
        <v>0.19</v>
      </c>
      <c r="F54" s="7">
        <f>SQRT((D54^2)+(E54^2))</f>
        <v>4.9736304647611282</v>
      </c>
      <c r="G54" s="7" t="str">
        <f>IF(AND(D54&gt;=0,E54&gt;=0),"K1",IF(AND(D54&gt;=0,E54&lt;=0),"K2",IF(AND(D54&lt;=0,E54&lt;=0),"K3",IF(AND(D54&lt;=0,E54&gt;=0),"K4"))))</f>
        <v>K1</v>
      </c>
      <c r="H54" s="2">
        <f>IF(G54="K1",(ATAN2(D54,E54))*(180/3.14)+180,IF(G54="K2",(ATAN2(D54,E54))*(180/3.14)+360,IF(G54="K3",(ATAN2(D54,E54))*(180/3.14)+0,IF(G54="K4",(ATAN2(D54,E54))*(180/3.14)+180,))))</f>
        <v>182.19042623019683</v>
      </c>
      <c r="I54" s="7" t="str">
        <f>IF(AND(H54&gt;=22.5,H54&lt;=67.5),"TL",IF(AND(H54&gt;=67.5,H54&lt;=112.5),"T",IF(AND(H54&gt;=112.5,H54&lt;=157.5),"TG",IF(AND(H54&gt;=157.5,H54&lt;=202.5),"S",IF(AND(H54&gt;=202.5,H54&lt;=247.5),"BD",IF(AND(H54&gt;=247.5,H54&lt;=292.5),"B",IF(AND(H54&gt;=292.5,H54&lt;=337.5),"BL","U")))))))</f>
        <v>S</v>
      </c>
      <c r="J54" s="2">
        <f>1.9438444924574*F54</f>
        <v>9.6679641864442587</v>
      </c>
    </row>
    <row r="55" spans="1:10" x14ac:dyDescent="0.25">
      <c r="A55" s="2" t="s">
        <v>78</v>
      </c>
      <c r="B55" s="2">
        <v>112.5</v>
      </c>
      <c r="C55" s="2">
        <v>-9</v>
      </c>
      <c r="D55" s="1">
        <v>3.75</v>
      </c>
      <c r="E55" s="1">
        <v>0.24</v>
      </c>
      <c r="F55" s="7">
        <f>SQRT((D55^2)+(E55^2))</f>
        <v>3.7576721517450138</v>
      </c>
      <c r="G55" s="7" t="str">
        <f>IF(AND(D55&gt;=0,E55&gt;=0),"K1",IF(AND(D55&gt;=0,E55&lt;=0),"K2",IF(AND(D55&lt;=0,E55&lt;=0),"K3",IF(AND(D55&lt;=0,E55&gt;=0),"K4"))))</f>
        <v>K1</v>
      </c>
      <c r="H55" s="2">
        <f>IF(G55="K1",(ATAN2(D55,E55))*(180/3.14)+180,IF(G55="K2",(ATAN2(D55,E55))*(180/3.14)+360,IF(G55="K3",(ATAN2(D55,E55))*(180/3.14)+0,IF(G55="K4",(ATAN2(D55,E55))*(180/3.14)+180,))))</f>
        <v>183.66379296241149</v>
      </c>
      <c r="I55" s="7" t="str">
        <f>IF(AND(H55&gt;=22.5,H55&lt;=67.5),"TL",IF(AND(H55&gt;=67.5,H55&lt;=112.5),"T",IF(AND(H55&gt;=112.5,H55&lt;=157.5),"TG",IF(AND(H55&gt;=157.5,H55&lt;=202.5),"S",IF(AND(H55&gt;=202.5,H55&lt;=247.5),"BD",IF(AND(H55&gt;=247.5,H55&lt;=292.5),"B",IF(AND(H55&gt;=292.5,H55&lt;=337.5),"BL","U")))))))</f>
        <v>S</v>
      </c>
      <c r="J55" s="2">
        <f>1.9438444924574*F55</f>
        <v>7.304330316630093</v>
      </c>
    </row>
    <row r="56" spans="1:10" x14ac:dyDescent="0.25">
      <c r="A56" s="2" t="s">
        <v>79</v>
      </c>
      <c r="B56" s="2">
        <v>112.5</v>
      </c>
      <c r="C56" s="2">
        <v>-9</v>
      </c>
      <c r="D56" s="1">
        <v>2.83</v>
      </c>
      <c r="E56" s="1">
        <v>1.75</v>
      </c>
      <c r="F56" s="7">
        <f>SQRT((D56^2)+(E56^2))</f>
        <v>3.3273713348527845</v>
      </c>
      <c r="G56" s="7" t="str">
        <f>IF(AND(D56&gt;=0,E56&gt;=0),"K1",IF(AND(D56&gt;=0,E56&lt;=0),"K2",IF(AND(D56&lt;=0,E56&lt;=0),"K3",IF(AND(D56&lt;=0,E56&gt;=0),"K4"))))</f>
        <v>K1</v>
      </c>
      <c r="H56" s="2">
        <f>IF(G56="K1",(ATAN2(D56,E56))*(180/3.14)+180,IF(G56="K2",(ATAN2(D56,E56))*(180/3.14)+360,IF(G56="K3",(ATAN2(D56,E56))*(180/3.14)+0,IF(G56="K4",(ATAN2(D56,E56))*(180/3.14)+180,))))</f>
        <v>211.74768686796119</v>
      </c>
      <c r="I56" s="7" t="str">
        <f>IF(AND(H56&gt;=22.5,H56&lt;=67.5),"TL",IF(AND(H56&gt;=67.5,H56&lt;=112.5),"T",IF(AND(H56&gt;=112.5,H56&lt;=157.5),"TG",IF(AND(H56&gt;=157.5,H56&lt;=202.5),"S",IF(AND(H56&gt;=202.5,H56&lt;=247.5),"BD",IF(AND(H56&gt;=247.5,H56&lt;=292.5),"B",IF(AND(H56&gt;=292.5,H56&lt;=337.5),"BL","U")))))))</f>
        <v>BD</v>
      </c>
      <c r="J56" s="2">
        <f>1.9438444924574*F56</f>
        <v>6.4678924436142129</v>
      </c>
    </row>
    <row r="57" spans="1:10" x14ac:dyDescent="0.25">
      <c r="A57" s="2" t="s">
        <v>80</v>
      </c>
      <c r="B57" s="2">
        <v>112.5</v>
      </c>
      <c r="C57" s="2">
        <v>-9</v>
      </c>
      <c r="D57" s="1">
        <v>2.98</v>
      </c>
      <c r="E57" s="1">
        <v>2.75</v>
      </c>
      <c r="F57" s="7">
        <f>SQRT((D57^2)+(E57^2))</f>
        <v>4.0549845869004235</v>
      </c>
      <c r="G57" s="7" t="str">
        <f>IF(AND(D57&gt;=0,E57&gt;=0),"K1",IF(AND(D57&gt;=0,E57&lt;=0),"K2",IF(AND(D57&lt;=0,E57&lt;=0),"K3",IF(AND(D57&lt;=0,E57&gt;=0),"K4"))))</f>
        <v>K1</v>
      </c>
      <c r="H57" s="2">
        <f>IF(G57="K1",(ATAN2(D57,E57))*(180/3.14)+180,IF(G57="K2",(ATAN2(D57,E57))*(180/3.14)+360,IF(G57="K3",(ATAN2(D57,E57))*(180/3.14)+0,IF(G57="K4",(ATAN2(D57,E57))*(180/3.14)+180,))))</f>
        <v>222.72306214157601</v>
      </c>
      <c r="I57" s="7" t="str">
        <f>IF(AND(H57&gt;=22.5,H57&lt;=67.5),"TL",IF(AND(H57&gt;=67.5,H57&lt;=112.5),"T",IF(AND(H57&gt;=112.5,H57&lt;=157.5),"TG",IF(AND(H57&gt;=157.5,H57&lt;=202.5),"S",IF(AND(H57&gt;=202.5,H57&lt;=247.5),"BD",IF(AND(H57&gt;=247.5,H57&lt;=292.5),"B",IF(AND(H57&gt;=292.5,H57&lt;=337.5),"BL","U")))))))</f>
        <v>BD</v>
      </c>
      <c r="J57" s="2">
        <f>1.9438444924574*F57</f>
        <v>7.8822594562460342</v>
      </c>
    </row>
    <row r="58" spans="1:10" x14ac:dyDescent="0.25">
      <c r="A58" s="2" t="s">
        <v>81</v>
      </c>
      <c r="B58" s="2">
        <v>112.5</v>
      </c>
      <c r="C58" s="2">
        <v>-9</v>
      </c>
      <c r="D58" s="1">
        <v>2.1800000000000002</v>
      </c>
      <c r="E58" s="1">
        <v>0.84</v>
      </c>
      <c r="F58" s="7">
        <f>SQRT((D58^2)+(E58^2))</f>
        <v>2.3362362894193729</v>
      </c>
      <c r="G58" s="7" t="str">
        <f>IF(AND(D58&gt;=0,E58&gt;=0),"K1",IF(AND(D58&gt;=0,E58&lt;=0),"K2",IF(AND(D58&lt;=0,E58&lt;=0),"K3",IF(AND(D58&lt;=0,E58&gt;=0),"K4"))))</f>
        <v>K1</v>
      </c>
      <c r="H58" s="2">
        <f>IF(G58="K1",(ATAN2(D58,E58))*(180/3.14)+180,IF(G58="K2",(ATAN2(D58,E58))*(180/3.14)+360,IF(G58="K3",(ATAN2(D58,E58))*(180/3.14)+0,IF(G58="K4",(ATAN2(D58,E58))*(180/3.14)+180,))))</f>
        <v>201.08341501284801</v>
      </c>
      <c r="I58" s="7" t="str">
        <f>IF(AND(H58&gt;=22.5,H58&lt;=67.5),"TL",IF(AND(H58&gt;=67.5,H58&lt;=112.5),"T",IF(AND(H58&gt;=112.5,H58&lt;=157.5),"TG",IF(AND(H58&gt;=157.5,H58&lt;=202.5),"S",IF(AND(H58&gt;=202.5,H58&lt;=247.5),"BD",IF(AND(H58&gt;=247.5,H58&lt;=292.5),"B",IF(AND(H58&gt;=292.5,H58&lt;=337.5),"BL","U")))))))</f>
        <v>S</v>
      </c>
      <c r="J58" s="2">
        <f>1.9438444924574*F58</f>
        <v>4.5412800442669603</v>
      </c>
    </row>
    <row r="59" spans="1:10" x14ac:dyDescent="0.25">
      <c r="A59" s="2" t="s">
        <v>82</v>
      </c>
      <c r="B59" s="2">
        <v>112.5</v>
      </c>
      <c r="C59" s="2">
        <v>-9</v>
      </c>
      <c r="D59" s="1">
        <v>2.06</v>
      </c>
      <c r="E59" s="1">
        <v>0.03</v>
      </c>
      <c r="F59" s="7">
        <f>SQRT((D59^2)+(E59^2))</f>
        <v>2.0602184350209081</v>
      </c>
      <c r="G59" s="7" t="str">
        <f>IF(AND(D59&gt;=0,E59&gt;=0),"K1",IF(AND(D59&gt;=0,E59&lt;=0),"K2",IF(AND(D59&lt;=0,E59&lt;=0),"K3",IF(AND(D59&lt;=0,E59&gt;=0),"K4"))))</f>
        <v>K1</v>
      </c>
      <c r="H59" s="2">
        <f>IF(G59="K1",(ATAN2(D59,E59))*(180/3.14)+180,IF(G59="K2",(ATAN2(D59,E59))*(180/3.14)+360,IF(G59="K3",(ATAN2(D59,E59))*(180/3.14)+0,IF(G59="K4",(ATAN2(D59,E59))*(180/3.14)+180,))))</f>
        <v>180.83476876773662</v>
      </c>
      <c r="I59" s="7" t="str">
        <f>IF(AND(H59&gt;=22.5,H59&lt;=67.5),"TL",IF(AND(H59&gt;=67.5,H59&lt;=112.5),"T",IF(AND(H59&gt;=112.5,H59&lt;=157.5),"TG",IF(AND(H59&gt;=157.5,H59&lt;=202.5),"S",IF(AND(H59&gt;=202.5,H59&lt;=247.5),"BD",IF(AND(H59&gt;=247.5,H59&lt;=292.5),"B",IF(AND(H59&gt;=292.5,H59&lt;=337.5),"BL","U")))))))</f>
        <v>S</v>
      </c>
      <c r="J59" s="2">
        <f>1.9438444924574*F59</f>
        <v>4.004744258174596</v>
      </c>
    </row>
    <row r="60" spans="1:10" x14ac:dyDescent="0.25">
      <c r="A60" s="2" t="s">
        <v>83</v>
      </c>
      <c r="B60" s="2">
        <v>112.5</v>
      </c>
      <c r="C60" s="2">
        <v>-9</v>
      </c>
      <c r="D60" s="1">
        <v>3.13</v>
      </c>
      <c r="E60" s="1">
        <v>-0.55000000000000004</v>
      </c>
      <c r="F60" s="7">
        <f>SQRT((D60^2)+(E60^2))</f>
        <v>3.1779553174958264</v>
      </c>
      <c r="G60" s="7" t="str">
        <f>IF(AND(D60&gt;=0,E60&gt;=0),"K1",IF(AND(D60&gt;=0,E60&lt;=0),"K2",IF(AND(D60&lt;=0,E60&lt;=0),"K3",IF(AND(D60&lt;=0,E60&gt;=0),"K4"))))</f>
        <v>K2</v>
      </c>
      <c r="H60" s="2">
        <f>IF(G60="K1",(ATAN2(D60,E60))*(180/3.14)+180,IF(G60="K2",(ATAN2(D60,E60))*(180/3.14)+360,IF(G60="K3",(ATAN2(D60,E60))*(180/3.14)+0,IF(G60="K4",(ATAN2(D60,E60))*(180/3.14)+180,))))</f>
        <v>350.02874118461079</v>
      </c>
      <c r="I60" s="7" t="str">
        <f>IF(AND(H60&gt;=22.5,H60&lt;=67.5),"TL",IF(AND(H60&gt;=67.5,H60&lt;=112.5),"T",IF(AND(H60&gt;=112.5,H60&lt;=157.5),"TG",IF(AND(H60&gt;=157.5,H60&lt;=202.5),"S",IF(AND(H60&gt;=202.5,H60&lt;=247.5),"BD",IF(AND(H60&gt;=247.5,H60&lt;=292.5),"B",IF(AND(H60&gt;=292.5,H60&lt;=337.5),"BL","U")))))))</f>
        <v>U</v>
      </c>
      <c r="J60" s="2">
        <f>1.9438444924574*F60</f>
        <v>6.1774509411899707</v>
      </c>
    </row>
    <row r="61" spans="1:10" x14ac:dyDescent="0.25">
      <c r="A61" s="2" t="s">
        <v>84</v>
      </c>
      <c r="B61" s="2">
        <v>112.5</v>
      </c>
      <c r="C61" s="2">
        <v>-9</v>
      </c>
      <c r="D61" s="1">
        <v>2.27</v>
      </c>
      <c r="E61" s="1">
        <v>-2.06</v>
      </c>
      <c r="F61" s="7">
        <f>SQRT((D61^2)+(E61^2))</f>
        <v>3.0653711031455879</v>
      </c>
      <c r="G61" s="7" t="str">
        <f>IF(AND(D61&gt;=0,E61&gt;=0),"K1",IF(AND(D61&gt;=0,E61&lt;=0),"K2",IF(AND(D61&lt;=0,E61&lt;=0),"K3",IF(AND(D61&lt;=0,E61&gt;=0),"K4"))))</f>
        <v>K2</v>
      </c>
      <c r="H61" s="2">
        <f>IF(G61="K1",(ATAN2(D61,E61))*(180/3.14)+180,IF(G61="K2",(ATAN2(D61,E61))*(180/3.14)+360,IF(G61="K3",(ATAN2(D61,E61))*(180/3.14)+0,IF(G61="K4",(ATAN2(D61,E61))*(180/3.14)+180,))))</f>
        <v>317.75518720416636</v>
      </c>
      <c r="I61" s="7" t="str">
        <f>IF(AND(H61&gt;=22.5,H61&lt;=67.5),"TL",IF(AND(H61&gt;=67.5,H61&lt;=112.5),"T",IF(AND(H61&gt;=112.5,H61&lt;=157.5),"TG",IF(AND(H61&gt;=157.5,H61&lt;=202.5),"S",IF(AND(H61&gt;=202.5,H61&lt;=247.5),"BD",IF(AND(H61&gt;=247.5,H61&lt;=292.5),"B",IF(AND(H61&gt;=292.5,H61&lt;=337.5),"BL","U")))))))</f>
        <v>BL</v>
      </c>
      <c r="J61" s="2">
        <f>1.9438444924574*F61</f>
        <v>5.958604736187616</v>
      </c>
    </row>
    <row r="62" spans="1:10" x14ac:dyDescent="0.25">
      <c r="A62" s="2" t="s">
        <v>85</v>
      </c>
      <c r="B62" s="2">
        <v>112.5</v>
      </c>
      <c r="C62" s="2">
        <v>-9</v>
      </c>
      <c r="D62" s="1">
        <v>3.72</v>
      </c>
      <c r="E62" s="1">
        <v>-2.99</v>
      </c>
      <c r="F62" s="7">
        <f>SQRT((D62^2)+(E62^2))</f>
        <v>4.7726826837743994</v>
      </c>
      <c r="G62" s="7" t="str">
        <f>IF(AND(D62&gt;=0,E62&gt;=0),"K1",IF(AND(D62&gt;=0,E62&lt;=0),"K2",IF(AND(D62&lt;=0,E62&lt;=0),"K3",IF(AND(D62&lt;=0,E62&gt;=0),"K4"))))</f>
        <v>K2</v>
      </c>
      <c r="H62" s="2">
        <f>IF(G62="K1",(ATAN2(D62,E62))*(180/3.14)+180,IF(G62="K2",(ATAN2(D62,E62))*(180/3.14)+360,IF(G62="K3",(ATAN2(D62,E62))*(180/3.14)+0,IF(G62="K4",(ATAN2(D62,E62))*(180/3.14)+180,))))</f>
        <v>321.18927625984713</v>
      </c>
      <c r="I62" s="7" t="str">
        <f>IF(AND(H62&gt;=22.5,H62&lt;=67.5),"TL",IF(AND(H62&gt;=67.5,H62&lt;=112.5),"T",IF(AND(H62&gt;=112.5,H62&lt;=157.5),"TG",IF(AND(H62&gt;=157.5,H62&lt;=202.5),"S",IF(AND(H62&gt;=202.5,H62&lt;=247.5),"BD",IF(AND(H62&gt;=247.5,H62&lt;=292.5),"B",IF(AND(H62&gt;=292.5,H62&lt;=337.5),"BL","U")))))))</f>
        <v>BL</v>
      </c>
      <c r="J62" s="2">
        <f>1.9438444924574*F62</f>
        <v>9.2773529491016689</v>
      </c>
    </row>
    <row r="63" spans="1:10" x14ac:dyDescent="0.25">
      <c r="A63" s="2" t="s">
        <v>86</v>
      </c>
      <c r="B63" s="2">
        <v>112.5</v>
      </c>
      <c r="C63" s="2">
        <v>-9</v>
      </c>
      <c r="D63" s="1">
        <v>3.59</v>
      </c>
      <c r="E63" s="1">
        <v>-1.83</v>
      </c>
      <c r="F63" s="7">
        <f>SQRT((D63^2)+(E63^2))</f>
        <v>4.0295160999802446</v>
      </c>
      <c r="G63" s="7" t="str">
        <f>IF(AND(D63&gt;=0,E63&gt;=0),"K1",IF(AND(D63&gt;=0,E63&lt;=0),"K2",IF(AND(D63&lt;=0,E63&lt;=0),"K3",IF(AND(D63&lt;=0,E63&gt;=0),"K4"))))</f>
        <v>K2</v>
      </c>
      <c r="H63" s="2">
        <f>IF(G63="K1",(ATAN2(D63,E63))*(180/3.14)+180,IF(G63="K2",(ATAN2(D63,E63))*(180/3.14)+360,IF(G63="K3",(ATAN2(D63,E63))*(180/3.14)+0,IF(G63="K4",(ATAN2(D63,E63))*(180/3.14)+180,))))</f>
        <v>332.9761185810429</v>
      </c>
      <c r="I63" s="7" t="str">
        <f>IF(AND(H63&gt;=22.5,H63&lt;=67.5),"TL",IF(AND(H63&gt;=67.5,H63&lt;=112.5),"T",IF(AND(H63&gt;=112.5,H63&lt;=157.5),"TG",IF(AND(H63&gt;=157.5,H63&lt;=202.5),"S",IF(AND(H63&gt;=202.5,H63&lt;=247.5),"BD",IF(AND(H63&gt;=247.5,H63&lt;=292.5),"B",IF(AND(H63&gt;=292.5,H63&lt;=337.5),"BL","U")))))))</f>
        <v>BL</v>
      </c>
      <c r="J63" s="2">
        <f>1.9438444924574*F63</f>
        <v>7.8327526782150212</v>
      </c>
    </row>
    <row r="64" spans="1:10" x14ac:dyDescent="0.25">
      <c r="A64" s="2" t="s">
        <v>87</v>
      </c>
      <c r="B64" s="2">
        <v>112.5</v>
      </c>
      <c r="C64" s="2">
        <v>-9</v>
      </c>
      <c r="D64" s="1">
        <v>5.32</v>
      </c>
      <c r="E64" s="1">
        <v>0.34</v>
      </c>
      <c r="F64" s="7">
        <f>SQRT((D64^2)+(E64^2))</f>
        <v>5.3308535901860976</v>
      </c>
      <c r="G64" s="7" t="str">
        <f>IF(AND(D64&gt;=0,E64&gt;=0),"K1",IF(AND(D64&gt;=0,E64&lt;=0),"K2",IF(AND(D64&lt;=0,E64&lt;=0),"K3",IF(AND(D64&lt;=0,E64&gt;=0),"K4"))))</f>
        <v>K1</v>
      </c>
      <c r="H64" s="2">
        <f>IF(G64="K1",(ATAN2(D64,E64))*(180/3.14)+180,IF(G64="K2",(ATAN2(D64,E64))*(180/3.14)+360,IF(G64="K3",(ATAN2(D64,E64))*(180/3.14)+0,IF(G64="K4",(ATAN2(D64,E64))*(180/3.14)+180,))))</f>
        <v>183.65864186548973</v>
      </c>
      <c r="I64" s="7" t="str">
        <f>IF(AND(H64&gt;=22.5,H64&lt;=67.5),"TL",IF(AND(H64&gt;=67.5,H64&lt;=112.5),"T",IF(AND(H64&gt;=112.5,H64&lt;=157.5),"TG",IF(AND(H64&gt;=157.5,H64&lt;=202.5),"S",IF(AND(H64&gt;=202.5,H64&lt;=247.5),"BD",IF(AND(H64&gt;=247.5,H64&lt;=292.5),"B",IF(AND(H64&gt;=292.5,H64&lt;=337.5),"BL","U")))))))</f>
        <v>S</v>
      </c>
      <c r="J64" s="2">
        <f>1.9438444924574*F64</f>
        <v>10.362350391380003</v>
      </c>
    </row>
    <row r="65" spans="1:10" x14ac:dyDescent="0.25">
      <c r="A65" s="2" t="s">
        <v>88</v>
      </c>
      <c r="B65" s="2">
        <v>112.5</v>
      </c>
      <c r="C65" s="2">
        <v>-9</v>
      </c>
      <c r="D65" s="1">
        <v>4.54</v>
      </c>
      <c r="E65" s="1">
        <v>1.62</v>
      </c>
      <c r="F65" s="7">
        <f>SQRT((D65^2)+(E65^2))</f>
        <v>4.8203734295176757</v>
      </c>
      <c r="G65" s="7" t="str">
        <f>IF(AND(D65&gt;=0,E65&gt;=0),"K1",IF(AND(D65&gt;=0,E65&lt;=0),"K2",IF(AND(D65&lt;=0,E65&lt;=0),"K3",IF(AND(D65&lt;=0,E65&gt;=0),"K4"))))</f>
        <v>K1</v>
      </c>
      <c r="H65" s="2">
        <f>IF(G65="K1",(ATAN2(D65,E65))*(180/3.14)+180,IF(G65="K2",(ATAN2(D65,E65))*(180/3.14)+360,IF(G65="K3",(ATAN2(D65,E65))*(180/3.14)+0,IF(G65="K4",(ATAN2(D65,E65))*(180/3.14)+180,))))</f>
        <v>199.64779364511486</v>
      </c>
      <c r="I65" s="7" t="str">
        <f>IF(AND(H65&gt;=22.5,H65&lt;=67.5),"TL",IF(AND(H65&gt;=67.5,H65&lt;=112.5),"T",IF(AND(H65&gt;=112.5,H65&lt;=157.5),"TG",IF(AND(H65&gt;=157.5,H65&lt;=202.5),"S",IF(AND(H65&gt;=202.5,H65&lt;=247.5),"BD",IF(AND(H65&gt;=247.5,H65&lt;=292.5),"B",IF(AND(H65&gt;=292.5,H65&lt;=337.5),"BL","U")))))))</f>
        <v>S</v>
      </c>
      <c r="J65" s="2">
        <f>1.9438444924574*F65</f>
        <v>9.3700563425559231</v>
      </c>
    </row>
    <row r="66" spans="1:10" x14ac:dyDescent="0.25">
      <c r="A66" s="2" t="s">
        <v>89</v>
      </c>
      <c r="B66" s="2">
        <v>112.5</v>
      </c>
      <c r="C66" s="2">
        <v>-9</v>
      </c>
      <c r="D66" s="1">
        <v>3.33</v>
      </c>
      <c r="E66" s="1">
        <v>-1.67</v>
      </c>
      <c r="F66" s="7">
        <f>SQRT((D66^2)+(E66^2))</f>
        <v>3.7252919348689977</v>
      </c>
      <c r="G66" s="7" t="str">
        <f>IF(AND(D66&gt;=0,E66&gt;=0),"K1",IF(AND(D66&gt;=0,E66&lt;=0),"K2",IF(AND(D66&lt;=0,E66&lt;=0),"K3",IF(AND(D66&lt;=0,E66&gt;=0),"K4"))))</f>
        <v>K2</v>
      </c>
      <c r="H66" s="2">
        <f>IF(G66="K1",(ATAN2(D66,E66))*(180/3.14)+180,IF(G66="K2",(ATAN2(D66,E66))*(180/3.14)+360,IF(G66="K3",(ATAN2(D66,E66))*(180/3.14)+0,IF(G66="K4",(ATAN2(D66,E66))*(180/3.14)+180,))))</f>
        <v>333.35265734047312</v>
      </c>
      <c r="I66" s="7" t="str">
        <f>IF(AND(H66&gt;=22.5,H66&lt;=67.5),"TL",IF(AND(H66&gt;=67.5,H66&lt;=112.5),"T",IF(AND(H66&gt;=112.5,H66&lt;=157.5),"TG",IF(AND(H66&gt;=157.5,H66&lt;=202.5),"S",IF(AND(H66&gt;=202.5,H66&lt;=247.5),"BD",IF(AND(H66&gt;=247.5,H66&lt;=292.5),"B",IF(AND(H66&gt;=292.5,H66&lt;=337.5),"BL","U")))))))</f>
        <v>BL</v>
      </c>
      <c r="J66" s="2">
        <f>1.9438444924574*F66</f>
        <v>7.2413882103910732</v>
      </c>
    </row>
    <row r="67" spans="1:10" x14ac:dyDescent="0.25">
      <c r="A67" s="2" t="s">
        <v>90</v>
      </c>
      <c r="B67" s="2">
        <v>112.5</v>
      </c>
      <c r="C67" s="2">
        <v>-9</v>
      </c>
      <c r="D67" s="1">
        <v>2.13</v>
      </c>
      <c r="E67" s="1">
        <v>-2.19</v>
      </c>
      <c r="F67" s="7">
        <f>SQRT((D67^2)+(E67^2))</f>
        <v>3.0549959083442317</v>
      </c>
      <c r="G67" s="7" t="str">
        <f>IF(AND(D67&gt;=0,E67&gt;=0),"K1",IF(AND(D67&gt;=0,E67&lt;=0),"K2",IF(AND(D67&lt;=0,E67&lt;=0),"K3",IF(AND(D67&lt;=0,E67&gt;=0),"K4"))))</f>
        <v>K2</v>
      </c>
      <c r="H67" s="2">
        <f>IF(G67="K1",(ATAN2(D67,E67))*(180/3.14)+180,IF(G67="K2",(ATAN2(D67,E67))*(180/3.14)+360,IF(G67="K3",(ATAN2(D67,E67))*(180/3.14)+0,IF(G67="K4",(ATAN2(D67,E67))*(180/3.14)+180,))))</f>
        <v>314.18104819136471</v>
      </c>
      <c r="I67" s="7" t="str">
        <f t="shared" ref="I67:I74" si="0">IF(AND(H67&gt;=22.5,H67&lt;=67.5),"TL",IF(AND(H67&gt;=67.5,H67&lt;=112.5),"T",IF(AND(H67&gt;=112.5,H67&lt;=157.5),"TG",IF(AND(H67&gt;=157.5,H67&lt;=202.5),"S",IF(AND(H67&gt;=202.5,H67&lt;=247.5),"BD",IF(AND(H67&gt;=247.5,H67&lt;=292.5),"B",IF(AND(H67&gt;=292.5,H67&lt;=337.5),"BL","U")))))))</f>
        <v>BL</v>
      </c>
      <c r="J67" s="2">
        <f>1.9438444924574*F67</f>
        <v>5.938436970914827</v>
      </c>
    </row>
    <row r="68" spans="1:10" x14ac:dyDescent="0.25">
      <c r="A68" s="2" t="s">
        <v>91</v>
      </c>
      <c r="B68" s="2">
        <v>112.5</v>
      </c>
      <c r="C68" s="2">
        <v>-9</v>
      </c>
      <c r="D68" s="1">
        <v>1.26</v>
      </c>
      <c r="E68" s="1">
        <v>0.04</v>
      </c>
      <c r="F68" s="7">
        <f>SQRT((D68^2)+(E68^2))</f>
        <v>1.2606347607455539</v>
      </c>
      <c r="G68" s="7" t="str">
        <f>IF(AND(D68&gt;=0,E68&gt;=0),"K1",IF(AND(D68&gt;=0,E68&lt;=0),"K2",IF(AND(D68&lt;=0,E68&lt;=0),"K3",IF(AND(D68&lt;=0,E68&gt;=0),"K4"))))</f>
        <v>K1</v>
      </c>
      <c r="H68" s="2">
        <f>IF(G68="K1",(ATAN2(D68,E68))*(180/3.14)+180,IF(G68="K2",(ATAN2(D68,E68))*(180/3.14)+360,IF(G68="K3",(ATAN2(D68,E68))*(180/3.14)+0,IF(G68="K4",(ATAN2(D68,E68))*(180/3.14)+180,))))</f>
        <v>181.81922523411541</v>
      </c>
      <c r="I68" s="7" t="str">
        <f t="shared" si="0"/>
        <v>S</v>
      </c>
      <c r="J68" s="2">
        <f>1.9438444924574*F68</f>
        <v>2.4504779366755973</v>
      </c>
    </row>
    <row r="69" spans="1:10" x14ac:dyDescent="0.25">
      <c r="A69" s="2" t="s">
        <v>92</v>
      </c>
      <c r="B69" s="2">
        <v>112.5</v>
      </c>
      <c r="C69" s="2">
        <v>-9</v>
      </c>
      <c r="D69" s="1">
        <v>0.26</v>
      </c>
      <c r="E69" s="1">
        <v>-0.62</v>
      </c>
      <c r="F69" s="7">
        <f>SQRT((D69^2)+(E69^2))</f>
        <v>0.67230945255886443</v>
      </c>
      <c r="G69" s="7" t="str">
        <f>IF(AND(D69&gt;=0,E69&gt;=0),"K1",IF(AND(D69&gt;=0,E69&lt;=0),"K2",IF(AND(D69&lt;=0,E69&lt;=0),"K3",IF(AND(D69&lt;=0,E69&gt;=0),"K4"))))</f>
        <v>K2</v>
      </c>
      <c r="H69" s="2">
        <f>IF(G69="K1",(ATAN2(D69,E69))*(180/3.14)+180,IF(G69="K2",(ATAN2(D69,E69))*(180/3.14)+360,IF(G69="K3",(ATAN2(D69,E69))*(180/3.14)+0,IF(G69="K4",(ATAN2(D69,E69))*(180/3.14)+180,))))</f>
        <v>292.71686666159724</v>
      </c>
      <c r="I69" s="7" t="str">
        <f t="shared" si="0"/>
        <v>BL</v>
      </c>
      <c r="J69" s="2">
        <f>1.9438444924574*F69</f>
        <v>1.3068650265835984</v>
      </c>
    </row>
    <row r="70" spans="1:10" x14ac:dyDescent="0.25">
      <c r="A70" s="2" t="s">
        <v>93</v>
      </c>
      <c r="B70" s="2">
        <v>112.5</v>
      </c>
      <c r="C70" s="2">
        <v>-9</v>
      </c>
      <c r="D70" s="1">
        <v>1.53</v>
      </c>
      <c r="E70" s="1">
        <v>-3.42</v>
      </c>
      <c r="F70" s="7">
        <f>SQRT((D70^2)+(E70^2))</f>
        <v>3.7466384933697565</v>
      </c>
      <c r="G70" s="7" t="str">
        <f>IF(AND(D70&gt;=0,E70&gt;=0),"K1",IF(AND(D70&gt;=0,E70&lt;=0),"K2",IF(AND(D70&lt;=0,E70&lt;=0),"K3",IF(AND(D70&lt;=0,E70&gt;=0),"K4"))))</f>
        <v>K2</v>
      </c>
      <c r="H70" s="2">
        <f>IF(G70="K1",(ATAN2(D70,E70))*(180/3.14)+180,IF(G70="K2",(ATAN2(D70,E70))*(180/3.14)+360,IF(G70="K3",(ATAN2(D70,E70))*(180/3.14)+0,IF(G70="K4",(ATAN2(D70,E70))*(180/3.14)+180,))))</f>
        <v>294.06881019772766</v>
      </c>
      <c r="I70" s="7" t="str">
        <f t="shared" si="0"/>
        <v>BL</v>
      </c>
      <c r="J70" s="2">
        <f>1.9438444924574*F70</f>
        <v>7.2828826005656921</v>
      </c>
    </row>
    <row r="71" spans="1:10" x14ac:dyDescent="0.25">
      <c r="A71" s="2" t="s">
        <v>94</v>
      </c>
      <c r="B71" s="2">
        <v>112.5</v>
      </c>
      <c r="C71" s="2">
        <v>-9</v>
      </c>
      <c r="D71" s="1">
        <v>1.27</v>
      </c>
      <c r="E71" s="1">
        <v>-2.5299999999999998</v>
      </c>
      <c r="F71" s="7">
        <f>SQRT((D71^2)+(E71^2))</f>
        <v>2.8308655920053853</v>
      </c>
      <c r="G71" s="7" t="str">
        <f>IF(AND(D71&gt;=0,E71&gt;=0),"K1",IF(AND(D71&gt;=0,E71&lt;=0),"K2",IF(AND(D71&lt;=0,E71&lt;=0),"K3",IF(AND(D71&lt;=0,E71&gt;=0),"K4"))))</f>
        <v>K2</v>
      </c>
      <c r="H71" s="2">
        <f>IF(G71="K1",(ATAN2(D71,E71))*(180/3.14)+180,IF(G71="K2",(ATAN2(D71,E71))*(180/3.14)+360,IF(G71="K3",(ATAN2(D71,E71))*(180/3.14)+0,IF(G71="K4",(ATAN2(D71,E71))*(180/3.14)+180,))))</f>
        <v>296.62343654461091</v>
      </c>
      <c r="I71" s="7" t="str">
        <f t="shared" si="0"/>
        <v>BL</v>
      </c>
      <c r="J71" s="2">
        <f>1.9438444924574*F71</f>
        <v>5.5027624899068259</v>
      </c>
    </row>
    <row r="72" spans="1:10" x14ac:dyDescent="0.25">
      <c r="A72" s="2" t="s">
        <v>95</v>
      </c>
      <c r="B72" s="2">
        <v>112.5</v>
      </c>
      <c r="C72" s="2">
        <v>-9</v>
      </c>
      <c r="D72" s="1">
        <v>0.36</v>
      </c>
      <c r="E72" s="1">
        <v>0.1</v>
      </c>
      <c r="F72" s="7">
        <f>SQRT((D72^2)+(E72^2))</f>
        <v>0.37363083384538809</v>
      </c>
      <c r="G72" s="7" t="str">
        <f>IF(AND(D72&gt;=0,E72&gt;=0),"K1",IF(AND(D72&gt;=0,E72&lt;=0),"K2",IF(AND(D72&lt;=0,E72&lt;=0),"K3",IF(AND(D72&lt;=0,E72&gt;=0),"K4"))))</f>
        <v>K1</v>
      </c>
      <c r="H72" s="2">
        <f>IF(G72="K1",(ATAN2(D72,E72))*(180/3.14)+180,IF(G72="K2",(ATAN2(D72,E72))*(180/3.14)+360,IF(G72="K3",(ATAN2(D72,E72))*(180/3.14)+0,IF(G72="K4",(ATAN2(D72,E72))*(180/3.14)+180,))))</f>
        <v>195.53198505124703</v>
      </c>
      <c r="I72" s="7" t="str">
        <f t="shared" si="0"/>
        <v>S</v>
      </c>
      <c r="J72" s="2">
        <f>1.9438444924574*F72</f>
        <v>0.72628023858262358</v>
      </c>
    </row>
    <row r="73" spans="1:10" x14ac:dyDescent="0.25">
      <c r="A73" s="2" t="s">
        <v>96</v>
      </c>
      <c r="B73" s="2">
        <v>112.5</v>
      </c>
      <c r="C73" s="2">
        <v>-9</v>
      </c>
      <c r="D73" s="1">
        <v>-0.65</v>
      </c>
      <c r="E73" s="1">
        <v>0.1</v>
      </c>
      <c r="F73" s="7">
        <f>SQRT((D73^2)+(E73^2))</f>
        <v>0.65764732189829533</v>
      </c>
      <c r="G73" s="7" t="str">
        <f>IF(AND(D73&gt;=0,E73&gt;=0),"K1",IF(AND(D73&gt;=0,E73&lt;=0),"K2",IF(AND(D73&lt;=0,E73&lt;=0),"K3",IF(AND(D73&lt;=0,E73&gt;=0),"K4"))))</f>
        <v>K4</v>
      </c>
      <c r="H73" s="2">
        <f>IF(G73="K1",(ATAN2(D73,E73))*(180/3.14)+180,IF(G73="K2",(ATAN2(D73,E73))*(180/3.14)+360,IF(G73="K3",(ATAN2(D73,E73))*(180/3.14)+0,IF(G73="K4",(ATAN2(D73,E73))*(180/3.14)+180,))))</f>
        <v>351.34070017038698</v>
      </c>
      <c r="I73" s="7" t="str">
        <f t="shared" si="0"/>
        <v>U</v>
      </c>
      <c r="J73" s="2">
        <f>1.9438444924574*F73</f>
        <v>1.2783641246513604</v>
      </c>
    </row>
    <row r="74" spans="1:10" x14ac:dyDescent="0.25">
      <c r="A74" s="2" t="s">
        <v>97</v>
      </c>
      <c r="B74" s="2">
        <v>112.5</v>
      </c>
      <c r="C74" s="2">
        <v>-9</v>
      </c>
      <c r="D74" s="1">
        <v>-0.51</v>
      </c>
      <c r="E74" s="1">
        <v>-1.48</v>
      </c>
      <c r="F74" s="7">
        <f>SQRT((D74^2)+(E74^2))</f>
        <v>1.5654072952429985</v>
      </c>
      <c r="G74" s="7" t="str">
        <f>IF(AND(D74&gt;=0,E74&gt;=0),"K1",IF(AND(D74&gt;=0,E74&lt;=0),"K2",IF(AND(D74&lt;=0,E74&lt;=0),"K3",IF(AND(D74&lt;=0,E74&gt;=0),"K4"))))</f>
        <v>K3</v>
      </c>
      <c r="H74" s="2">
        <f>IF(G74="K1",(ATAN2(D74,E74))*(180/3.14)+180,IF(G74="K2",(ATAN2(D74,E74))*(180/3.14)+360,IF(G74="K3",(ATAN2(D74,E74))*(180/3.14)+0,IF(G74="K4",(ATAN2(D74,E74))*(180/3.14)+180,))))</f>
        <v>-109.06896770695379</v>
      </c>
      <c r="I74" s="7" t="str">
        <f t="shared" si="0"/>
        <v>U</v>
      </c>
      <c r="J74" s="2">
        <f>1.9438444924574*F74</f>
        <v>3.0429083493107378</v>
      </c>
    </row>
    <row r="75" spans="1:10" x14ac:dyDescent="0.25">
      <c r="A75" s="2" t="s">
        <v>98</v>
      </c>
      <c r="B75" s="2">
        <v>112.5</v>
      </c>
      <c r="C75" s="2">
        <v>-9</v>
      </c>
      <c r="D75" s="1">
        <v>-1.41</v>
      </c>
      <c r="E75" s="1">
        <v>-0.73</v>
      </c>
      <c r="F75" s="7">
        <f>SQRT((D75^2)+(E75^2))</f>
        <v>1.5877657257920641</v>
      </c>
      <c r="G75" s="7" t="str">
        <f>IF(AND(D75&gt;=0,E75&gt;=0),"K1",IF(AND(D75&gt;=0,E75&lt;=0),"K2",IF(AND(D75&lt;=0,E75&lt;=0),"K3",IF(AND(D75&lt;=0,E75&gt;=0),"K4"))))</f>
        <v>K3</v>
      </c>
      <c r="H75">
        <v>326.61549759952049</v>
      </c>
      <c r="I75" s="7" t="str">
        <f>IF(AND([1]Sheet1!E434&gt;=22.5,[1]Sheet1!E434&lt;=67.5),"TL",IF(AND([1]Sheet1!E434&gt;=67.5,[1]Sheet1!E434&lt;=112.5),"T",IF(AND([1]Sheet1!E434&gt;=112.5,[1]Sheet1!E434&lt;=157.5),"TG",IF(AND([1]Sheet1!E434&gt;=157.5,[1]Sheet1!E434&lt;=202.5),"S",IF(AND([1]Sheet1!E434&gt;=202.5,[1]Sheet1!E434&lt;=247.5),"BD",IF(AND([1]Sheet1!E434&gt;=247.5,[1]Sheet1!E434&lt;=292.5),"B",IF(AND([1]Sheet1!E434&gt;=292.5,[1]Sheet1!E434&lt;=337.5),"BL","U")))))))</f>
        <v>BL</v>
      </c>
      <c r="J75" s="2">
        <f>1.9438444924574*F75</f>
        <v>3.0863696613935305</v>
      </c>
    </row>
    <row r="76" spans="1:10" x14ac:dyDescent="0.25">
      <c r="A76" s="2" t="s">
        <v>99</v>
      </c>
      <c r="B76" s="2">
        <v>112.5</v>
      </c>
      <c r="C76" s="2">
        <v>-9</v>
      </c>
      <c r="D76" s="1">
        <v>-3.92</v>
      </c>
      <c r="E76" s="1">
        <v>1.6</v>
      </c>
      <c r="F76" s="7">
        <f>SQRT((D76^2)+(E76^2))</f>
        <v>4.233957959167757</v>
      </c>
      <c r="G76" s="7" t="str">
        <f>IF(AND(D76&gt;=0,E76&gt;=0),"K1",IF(AND(D76&gt;=0,E76&lt;=0),"K2",IF(AND(D76&lt;=0,E76&lt;=0),"K3",IF(AND(D76&lt;=0,E76&gt;=0),"K4"))))</f>
        <v>K4</v>
      </c>
      <c r="H76">
        <v>318.78414375392424</v>
      </c>
      <c r="I76" s="7" t="str">
        <f>IF(AND([1]Sheet1!E440&gt;=22.5,[1]Sheet1!E440&lt;=67.5),"TL",IF(AND([1]Sheet1!E440&gt;=67.5,[1]Sheet1!E440&lt;=112.5),"T",IF(AND([1]Sheet1!E440&gt;=112.5,[1]Sheet1!E440&lt;=157.5),"TG",IF(AND([1]Sheet1!E440&gt;=157.5,[1]Sheet1!E440&lt;=202.5),"S",IF(AND([1]Sheet1!E440&gt;=202.5,[1]Sheet1!E440&lt;=247.5),"BD",IF(AND([1]Sheet1!E440&gt;=247.5,[1]Sheet1!E440&lt;=292.5),"B",IF(AND([1]Sheet1!E440&gt;=292.5,[1]Sheet1!E440&lt;=337.5),"BL","U")))))))</f>
        <v>BL</v>
      </c>
      <c r="J76" s="2">
        <f>1.9438444924574*F76</f>
        <v>8.2301558602244178</v>
      </c>
    </row>
    <row r="77" spans="1:10" x14ac:dyDescent="0.25">
      <c r="A77" s="2" t="s">
        <v>100</v>
      </c>
      <c r="B77" s="2">
        <v>112.5</v>
      </c>
      <c r="C77" s="2">
        <v>-9</v>
      </c>
      <c r="D77" s="1">
        <v>-5.01</v>
      </c>
      <c r="E77" s="1">
        <v>1.17</v>
      </c>
      <c r="F77" s="7">
        <f>SQRT((D77^2)+(E77^2))</f>
        <v>5.1448032032333364</v>
      </c>
      <c r="G77" s="7" t="str">
        <f>IF(AND(D77&gt;=0,E77&gt;=0),"K1",IF(AND(D77&gt;=0,E77&lt;=0),"K2",IF(AND(D77&lt;=0,E77&lt;=0),"K3",IF(AND(D77&lt;=0,E77&gt;=0),"K4"))))</f>
        <v>K4</v>
      </c>
      <c r="H77">
        <v>324.25021042847169</v>
      </c>
      <c r="I77" s="7" t="e">
        <f>IF(AND([1]Sheet1!#REF!&gt;=22.5,[1]Sheet1!#REF!&lt;=67.5),"TL",IF(AND([1]Sheet1!#REF!&gt;=67.5,[1]Sheet1!#REF!&lt;=112.5),"T",IF(AND([1]Sheet1!#REF!&gt;=112.5,[1]Sheet1!#REF!&lt;=157.5),"TG",IF(AND([1]Sheet1!#REF!&gt;=157.5,[1]Sheet1!#REF!&lt;=202.5),"S",IF(AND([1]Sheet1!#REF!&gt;=202.5,[1]Sheet1!#REF!&lt;=247.5),"BD",IF(AND([1]Sheet1!#REF!&gt;=247.5,[1]Sheet1!#REF!&lt;=292.5),"B",IF(AND([1]Sheet1!#REF!&gt;=292.5,[1]Sheet1!#REF!&lt;=337.5),"BL","U")))))))</f>
        <v>#REF!</v>
      </c>
      <c r="J77" s="2">
        <f>1.9438444924574*F77</f>
        <v>10.00069737138231</v>
      </c>
    </row>
    <row r="78" spans="1:10" x14ac:dyDescent="0.25">
      <c r="A78" s="2" t="s">
        <v>101</v>
      </c>
      <c r="B78" s="2">
        <v>112.5</v>
      </c>
      <c r="C78" s="2">
        <v>-9</v>
      </c>
      <c r="D78" s="1">
        <v>-5.3</v>
      </c>
      <c r="E78" s="1">
        <v>0.15</v>
      </c>
      <c r="F78" s="7">
        <f>SQRT((D78^2)+(E78^2))</f>
        <v>5.3021222166223216</v>
      </c>
      <c r="G78" s="7" t="str">
        <f>IF(AND(D78&gt;=0,E78&gt;=0),"K1",IF(AND(D78&gt;=0,E78&lt;=0),"K2",IF(AND(D78&lt;=0,E78&lt;=0),"K3",IF(AND(D78&lt;=0,E78&gt;=0),"K4"))))</f>
        <v>K4</v>
      </c>
      <c r="H78">
        <v>325.31625607732707</v>
      </c>
      <c r="I78" s="7" t="e">
        <f>IF(AND([1]Sheet1!#REF!&gt;=22.5,[1]Sheet1!#REF!&lt;=67.5),"TL",IF(AND([1]Sheet1!#REF!&gt;=67.5,[1]Sheet1!#REF!&lt;=112.5),"T",IF(AND([1]Sheet1!#REF!&gt;=112.5,[1]Sheet1!#REF!&lt;=157.5),"TG",IF(AND([1]Sheet1!#REF!&gt;=157.5,[1]Sheet1!#REF!&lt;=202.5),"S",IF(AND([1]Sheet1!#REF!&gt;=202.5,[1]Sheet1!#REF!&lt;=247.5),"BD",IF(AND([1]Sheet1!#REF!&gt;=247.5,[1]Sheet1!#REF!&lt;=292.5),"B",IF(AND([1]Sheet1!#REF!&gt;=292.5,[1]Sheet1!#REF!&lt;=337.5),"BL","U")))))))</f>
        <v>#REF!</v>
      </c>
      <c r="J78" s="2">
        <f>1.9438444924574*F78</f>
        <v>10.306501069117322</v>
      </c>
    </row>
    <row r="79" spans="1:10" x14ac:dyDescent="0.25">
      <c r="A79" s="2" t="s">
        <v>102</v>
      </c>
      <c r="B79" s="2">
        <v>112.5</v>
      </c>
      <c r="C79" s="2">
        <v>-9</v>
      </c>
      <c r="D79" s="1">
        <v>-3.63</v>
      </c>
      <c r="E79" s="1">
        <v>0.66</v>
      </c>
      <c r="F79" s="7">
        <f>SQRT((D79^2)+(E79^2))</f>
        <v>3.689512162874653</v>
      </c>
      <c r="G79" s="7" t="str">
        <f>IF(AND(D79&gt;=0,E79&gt;=0),"K1",IF(AND(D79&gt;=0,E79&lt;=0),"K2",IF(AND(D79&lt;=0,E79&lt;=0),"K3",IF(AND(D79&lt;=0,E79&gt;=0),"K4"))))</f>
        <v>K4</v>
      </c>
      <c r="H79" s="2">
        <f>IF(G79="K1",(ATAN2(D79,E79))*(180/3.14)+180,IF(G79="K2",(ATAN2(D79,E79))*(180/3.14)+360,IF(G79="K3",(ATAN2(D79,E79))*(180/3.14)+0,IF(G79="K4",(ATAN2(D79,E79))*(180/3.14)+180,))))</f>
        <v>349.78122537691615</v>
      </c>
      <c r="I79" s="7" t="str">
        <f t="shared" ref="I79:I126" si="1">IF(AND(H79&gt;=22.5,H79&lt;=67.5),"TL",IF(AND(H79&gt;=67.5,H79&lt;=112.5),"T",IF(AND(H79&gt;=112.5,H79&lt;=157.5),"TG",IF(AND(H79&gt;=157.5,H79&lt;=202.5),"S",IF(AND(H79&gt;=202.5,H79&lt;=247.5),"BD",IF(AND(H79&gt;=247.5,H79&lt;=292.5),"B",IF(AND(H79&gt;=292.5,H79&lt;=337.5),"BL","U")))))))</f>
        <v>U</v>
      </c>
      <c r="J79" s="2">
        <f>1.9438444924574*F79</f>
        <v>7.1718378976584845</v>
      </c>
    </row>
    <row r="80" spans="1:10" x14ac:dyDescent="0.25">
      <c r="A80" s="2" t="s">
        <v>103</v>
      </c>
      <c r="B80" s="2">
        <v>112.5</v>
      </c>
      <c r="C80" s="2">
        <v>-9</v>
      </c>
      <c r="D80" s="1">
        <v>-3.34</v>
      </c>
      <c r="E80" s="1">
        <v>1.22</v>
      </c>
      <c r="F80" s="7">
        <f>SQRT((D80^2)+(E80^2))</f>
        <v>3.5558402663786799</v>
      </c>
      <c r="G80" s="7" t="str">
        <f>IF(AND(D80&gt;=0,E80&gt;=0),"K1",IF(AND(D80&gt;=0,E80&lt;=0),"K2",IF(AND(D80&lt;=0,E80&lt;=0),"K3",IF(AND(D80&lt;=0,E80&gt;=0),"K4"))))</f>
        <v>K4</v>
      </c>
      <c r="H80" s="2">
        <f>IF(G80="K1",(ATAN2(D80,E80))*(180/3.14)+180,IF(G80="K2",(ATAN2(D80,E80))*(180/3.14)+360,IF(G80="K3",(ATAN2(D80,E80))*(180/3.14)+0,IF(G80="K4",(ATAN2(D80,E80))*(180/3.14)+180,))))</f>
        <v>340.01541609914545</v>
      </c>
      <c r="I80" s="7" t="str">
        <f t="shared" si="1"/>
        <v>U</v>
      </c>
      <c r="J80" s="2">
        <f>1.9438444924574*F80</f>
        <v>6.9120005178584512</v>
      </c>
    </row>
    <row r="81" spans="1:10" x14ac:dyDescent="0.25">
      <c r="A81" s="2" t="s">
        <v>104</v>
      </c>
      <c r="B81" s="2">
        <v>112.5</v>
      </c>
      <c r="C81" s="2">
        <v>-9</v>
      </c>
      <c r="D81" s="1">
        <v>-4.83</v>
      </c>
      <c r="E81" s="1">
        <v>1.18</v>
      </c>
      <c r="F81" s="7">
        <f>SQRT((D81^2)+(E81^2))</f>
        <v>4.9720518903165116</v>
      </c>
      <c r="G81" s="7" t="str">
        <f>IF(AND(D81&gt;=0,E81&gt;=0),"K1",IF(AND(D81&gt;=0,E81&lt;=0),"K2",IF(AND(D81&lt;=0,E81&lt;=0),"K3",IF(AND(D81&lt;=0,E81&gt;=0),"K4"))))</f>
        <v>K4</v>
      </c>
      <c r="H81" s="2">
        <f>IF(G81="K1",(ATAN2(D81,E81))*(180/3.14)+180,IF(G81="K2",(ATAN2(D81,E81))*(180/3.14)+360,IF(G81="K3",(ATAN2(D81,E81))*(180/3.14)+0,IF(G81="K4",(ATAN2(D81,E81))*(180/3.14)+180,))))</f>
        <v>346.35552951346506</v>
      </c>
      <c r="I81" s="7" t="str">
        <f t="shared" si="1"/>
        <v>U</v>
      </c>
      <c r="J81" s="2">
        <f>1.9438444924574*F81</f>
        <v>9.6648956832041559</v>
      </c>
    </row>
    <row r="82" spans="1:10" x14ac:dyDescent="0.25">
      <c r="A82" s="2" t="s">
        <v>105</v>
      </c>
      <c r="B82" s="2">
        <v>112.5</v>
      </c>
      <c r="C82" s="2">
        <v>-9</v>
      </c>
      <c r="D82" s="1">
        <v>-4.6900000000000004</v>
      </c>
      <c r="E82" s="1">
        <v>1.1599999999999999</v>
      </c>
      <c r="F82" s="7">
        <f>SQRT((D82^2)+(E82^2))</f>
        <v>4.8313248700537619</v>
      </c>
      <c r="G82" s="7" t="str">
        <f>IF(AND(D82&gt;=0,E82&gt;=0),"K1",IF(AND(D82&gt;=0,E82&lt;=0),"K2",IF(AND(D82&lt;=0,E82&lt;=0),"K3",IF(AND(D82&lt;=0,E82&gt;=0),"K4"))))</f>
        <v>K4</v>
      </c>
      <c r="H82" s="2">
        <f>IF(G82="K1",(ATAN2(D82,E82))*(180/3.14)+180,IF(G82="K2",(ATAN2(D82,E82))*(180/3.14)+360,IF(G82="K3",(ATAN2(D82,E82))*(180/3.14)+0,IF(G82="K4",(ATAN2(D82,E82))*(180/3.14)+180,))))</f>
        <v>346.19182310936492</v>
      </c>
      <c r="I82" s="7" t="str">
        <f t="shared" si="1"/>
        <v>U</v>
      </c>
      <c r="J82" s="2">
        <f>1.9438444924574*F82</f>
        <v>9.3913442399264699</v>
      </c>
    </row>
    <row r="83" spans="1:10" x14ac:dyDescent="0.25">
      <c r="A83" s="2" t="s">
        <v>106</v>
      </c>
      <c r="B83" s="2">
        <v>112.5</v>
      </c>
      <c r="C83" s="2">
        <v>-9</v>
      </c>
      <c r="D83" s="1">
        <v>-4.8</v>
      </c>
      <c r="E83" s="1">
        <v>0.72</v>
      </c>
      <c r="F83" s="7">
        <f>SQRT((D83^2)+(E83^2))</f>
        <v>4.8536996198776041</v>
      </c>
      <c r="G83" s="7" t="str">
        <f>IF(AND(D83&gt;=0,E83&gt;=0),"K1",IF(AND(D83&gt;=0,E83&lt;=0),"K2",IF(AND(D83&lt;=0,E83&lt;=0),"K3",IF(AND(D83&lt;=0,E83&gt;=0),"K4"))))</f>
        <v>K4</v>
      </c>
      <c r="H83" s="2">
        <f>IF(G83="K1",(ATAN2(D83,E83))*(180/3.14)+180,IF(G83="K2",(ATAN2(D83,E83))*(180/3.14)+360,IF(G83="K3",(ATAN2(D83,E83))*(180/3.14)+0,IF(G83="K4",(ATAN2(D83,E83))*(180/3.14)+180,))))</f>
        <v>351.55620607530358</v>
      </c>
      <c r="I83" s="7" t="str">
        <f t="shared" si="1"/>
        <v>U</v>
      </c>
      <c r="J83" s="2">
        <f>1.9438444924574*F83</f>
        <v>9.4348372741416568</v>
      </c>
    </row>
    <row r="84" spans="1:10" x14ac:dyDescent="0.25">
      <c r="A84" s="2" t="s">
        <v>107</v>
      </c>
      <c r="B84" s="2">
        <v>112.5</v>
      </c>
      <c r="C84" s="2">
        <v>-9</v>
      </c>
      <c r="D84" s="1">
        <v>-3.39</v>
      </c>
      <c r="E84" s="1">
        <v>0.49</v>
      </c>
      <c r="F84" s="7">
        <f>SQRT((D84^2)+(E84^2))</f>
        <v>3.4252299192900906</v>
      </c>
      <c r="G84" s="7" t="str">
        <f>IF(AND(D84&gt;=0,E84&gt;=0),"K1",IF(AND(D84&gt;=0,E84&lt;=0),"K2",IF(AND(D84&lt;=0,E84&lt;=0),"K3",IF(AND(D84&lt;=0,E84&gt;=0),"K4"))))</f>
        <v>K4</v>
      </c>
      <c r="H84" s="2">
        <f>IF(G84="K1",(ATAN2(D84,E84))*(180/3.14)+180,IF(G84="K2",(ATAN2(D84,E84))*(180/3.14)+360,IF(G84="K3",(ATAN2(D84,E84))*(180/3.14)+0,IF(G84="K4",(ATAN2(D84,E84))*(180/3.14)+180,))))</f>
        <v>351.86239907908714</v>
      </c>
      <c r="I84" s="7" t="str">
        <f t="shared" si="1"/>
        <v>U</v>
      </c>
      <c r="J84" s="2">
        <f>1.9438444924574*F84</f>
        <v>6.658114314012348</v>
      </c>
    </row>
    <row r="85" spans="1:10" x14ac:dyDescent="0.25">
      <c r="A85" s="2" t="s">
        <v>108</v>
      </c>
      <c r="B85" s="2">
        <v>112.5</v>
      </c>
      <c r="C85" s="2">
        <v>-9</v>
      </c>
      <c r="D85" s="1">
        <v>-4.01</v>
      </c>
      <c r="E85" s="1">
        <v>0.04</v>
      </c>
      <c r="F85" s="7">
        <f>SQRT((D85^2)+(E85^2))</f>
        <v>4.0101994962844429</v>
      </c>
      <c r="G85" s="7" t="str">
        <f>IF(AND(D85&gt;=0,E85&gt;=0),"K1",IF(AND(D85&gt;=0,E85&lt;=0),"K2",IF(AND(D85&lt;=0,E85&lt;=0),"K3",IF(AND(D85&lt;=0,E85&gt;=0),"K4"))))</f>
        <v>K4</v>
      </c>
      <c r="H85" s="2">
        <f>IF(G85="K1",(ATAN2(D85,E85))*(180/3.14)+180,IF(G85="K2",(ATAN2(D85,E85))*(180/3.14)+360,IF(G85="K3",(ATAN2(D85,E85))*(180/3.14)+0,IF(G85="K4",(ATAN2(D85,E85))*(180/3.14)+180,))))</f>
        <v>359.51949871748513</v>
      </c>
      <c r="I85" s="7" t="str">
        <f t="shared" si="1"/>
        <v>U</v>
      </c>
      <c r="J85" s="2">
        <f>1.9438444924574*F85</f>
        <v>7.7952042045079546</v>
      </c>
    </row>
    <row r="86" spans="1:10" x14ac:dyDescent="0.25">
      <c r="A86" s="2" t="s">
        <v>109</v>
      </c>
      <c r="B86" s="2">
        <v>112.5</v>
      </c>
      <c r="C86" s="2">
        <v>-9</v>
      </c>
      <c r="D86" s="1">
        <v>-2.68</v>
      </c>
      <c r="E86" s="1">
        <v>-0.95</v>
      </c>
      <c r="F86" s="7">
        <f>SQRT((D86^2)+(E86^2))</f>
        <v>2.8433958570695008</v>
      </c>
      <c r="G86" s="7" t="str">
        <f>IF(AND(D86&gt;=0,E86&gt;=0),"K1",IF(AND(D86&gt;=0,E86&lt;=0),"K2",IF(AND(D86&lt;=0,E86&lt;=0),"K3",IF(AND(D86&lt;=0,E86&gt;=0),"K4"))))</f>
        <v>K3</v>
      </c>
      <c r="H86" s="2">
        <f>IF(G86="K1",(ATAN2(D86,E86))*(180/3.14)+180,IF(G86="K2",(ATAN2(D86,E86))*(180/3.14)+360,IF(G86="K3",(ATAN2(D86,E86))*(180/3.14)+0,IF(G86="K4",(ATAN2(D86,E86))*(180/3.14)+180,))))</f>
        <v>-160.56312149706378</v>
      </c>
      <c r="I86" s="7" t="str">
        <f t="shared" si="1"/>
        <v>U</v>
      </c>
      <c r="J86" s="2">
        <f>1.9438444924574*F86</f>
        <v>5.527119376640738</v>
      </c>
    </row>
    <row r="87" spans="1:10" x14ac:dyDescent="0.25">
      <c r="A87" s="2" t="s">
        <v>110</v>
      </c>
      <c r="B87" s="2">
        <v>112.5</v>
      </c>
      <c r="C87" s="2">
        <v>-9</v>
      </c>
      <c r="D87" s="1">
        <v>-3.05</v>
      </c>
      <c r="E87" s="1">
        <v>0.34</v>
      </c>
      <c r="F87" s="7">
        <f>SQRT((D87^2)+(E87^2))</f>
        <v>3.0688923083093025</v>
      </c>
      <c r="G87" s="7" t="str">
        <f>IF(AND(D87&gt;=0,E87&gt;=0),"K1",IF(AND(D87&gt;=0,E87&lt;=0),"K2",IF(AND(D87&lt;=0,E87&lt;=0),"K3",IF(AND(D87&lt;=0,E87&gt;=0),"K4"))))</f>
        <v>K4</v>
      </c>
      <c r="H87" s="2">
        <f>IF(G87="K1",(ATAN2(D87,E87))*(180/3.14)+180,IF(G87="K2",(ATAN2(D87,E87))*(180/3.14)+360,IF(G87="K3",(ATAN2(D87,E87))*(180/3.14)+0,IF(G87="K4",(ATAN2(D87,E87))*(180/3.14)+180,))))</f>
        <v>353.72726316468709</v>
      </c>
      <c r="I87" s="7" t="str">
        <f t="shared" si="1"/>
        <v>U</v>
      </c>
      <c r="J87" s="2">
        <f>1.9438444924574*F87</f>
        <v>5.9654494114519148</v>
      </c>
    </row>
    <row r="88" spans="1:10" x14ac:dyDescent="0.25">
      <c r="A88" s="2" t="s">
        <v>111</v>
      </c>
      <c r="B88" s="2">
        <v>112.5</v>
      </c>
      <c r="C88" s="2">
        <v>-9</v>
      </c>
      <c r="D88" s="1">
        <v>-0.55000000000000004</v>
      </c>
      <c r="E88" s="1">
        <v>1.07</v>
      </c>
      <c r="F88" s="7">
        <f>SQRT((D88^2)+(E88^2))</f>
        <v>1.2030793822520607</v>
      </c>
      <c r="G88" s="7" t="str">
        <f>IF(AND(D88&gt;=0,E88&gt;=0),"K1",IF(AND(D88&gt;=0,E88&lt;=0),"K2",IF(AND(D88&lt;=0,E88&lt;=0),"K3",IF(AND(D88&lt;=0,E88&gt;=0),"K4"))))</f>
        <v>K4</v>
      </c>
      <c r="H88" s="2">
        <f>IF(G88="K1",(ATAN2(D88,E88))*(180/3.14)+180,IF(G88="K2",(ATAN2(D88,E88))*(180/3.14)+360,IF(G88="K3",(ATAN2(D88,E88))*(180/3.14)+0,IF(G88="K4",(ATAN2(D88,E88))*(180/3.14)+180,))))</f>
        <v>297.26345865217741</v>
      </c>
      <c r="I88" s="7" t="str">
        <f t="shared" si="1"/>
        <v>BL</v>
      </c>
      <c r="J88" s="2">
        <f>1.9438444924574*F88</f>
        <v>2.3385992311797192</v>
      </c>
    </row>
    <row r="89" spans="1:10" x14ac:dyDescent="0.25">
      <c r="A89" s="2" t="s">
        <v>112</v>
      </c>
      <c r="B89" s="2">
        <v>112.5</v>
      </c>
      <c r="C89" s="2">
        <v>-9</v>
      </c>
      <c r="D89" s="1">
        <v>-1.7</v>
      </c>
      <c r="E89" s="1">
        <v>0.19</v>
      </c>
      <c r="F89" s="7">
        <f>SQRT((D89^2)+(E89^2))</f>
        <v>1.7105846953600397</v>
      </c>
      <c r="G89" s="7" t="str">
        <f>IF(AND(D89&gt;=0,E89&gt;=0),"K1",IF(AND(D89&gt;=0,E89&lt;=0),"K2",IF(AND(D89&lt;=0,E89&lt;=0),"K3",IF(AND(D89&lt;=0,E89&gt;=0),"K4"))))</f>
        <v>K4</v>
      </c>
      <c r="H89" s="2">
        <f>IF(G89="K1",(ATAN2(D89,E89))*(180/3.14)+180,IF(G89="K2",(ATAN2(D89,E89))*(180/3.14)+360,IF(G89="K3",(ATAN2(D89,E89))*(180/3.14)+0,IF(G89="K4",(ATAN2(D89,E89))*(180/3.14)+180,))))</f>
        <v>353.71088339121741</v>
      </c>
      <c r="I89" s="7" t="str">
        <f t="shared" si="1"/>
        <v>U</v>
      </c>
      <c r="J89" s="2">
        <f>1.9438444924574*F89</f>
        <v>3.3251106389575327</v>
      </c>
    </row>
    <row r="90" spans="1:10" x14ac:dyDescent="0.25">
      <c r="A90" s="2" t="s">
        <v>113</v>
      </c>
      <c r="B90" s="2">
        <v>112.5</v>
      </c>
      <c r="C90" s="2">
        <v>-9</v>
      </c>
      <c r="D90" s="1">
        <v>-1.58</v>
      </c>
      <c r="E90" s="1">
        <v>-1.87</v>
      </c>
      <c r="F90" s="7">
        <f>SQRT((D90^2)+(E90^2))</f>
        <v>2.448121728999602</v>
      </c>
      <c r="G90" s="7" t="str">
        <f>IF(AND(D90&gt;=0,E90&gt;=0),"K1",IF(AND(D90&gt;=0,E90&lt;=0),"K2",IF(AND(D90&lt;=0,E90&lt;=0),"K3",IF(AND(D90&lt;=0,E90&gt;=0),"K4"))))</f>
        <v>K3</v>
      </c>
      <c r="H90" s="2">
        <f>IF(G90="K1",(ATAN2(D90,E90))*(180/3.14)+180,IF(G90="K2",(ATAN2(D90,E90))*(180/3.14)+360,IF(G90="K3",(ATAN2(D90,E90))*(180/3.14)+0,IF(G90="K4",(ATAN2(D90,E90))*(180/3.14)+180,))))</f>
        <v>-130.26116530332487</v>
      </c>
      <c r="I90" s="7" t="str">
        <f t="shared" si="1"/>
        <v>U</v>
      </c>
      <c r="J90" s="2">
        <f>1.9438444924574*F90</f>
        <v>4.7587679397811637</v>
      </c>
    </row>
    <row r="91" spans="1:10" x14ac:dyDescent="0.25">
      <c r="A91" s="2" t="s">
        <v>114</v>
      </c>
      <c r="B91" s="2">
        <v>112.5</v>
      </c>
      <c r="C91" s="2">
        <v>-9</v>
      </c>
      <c r="D91" s="1">
        <v>-2.17</v>
      </c>
      <c r="E91" s="1">
        <v>-0.55000000000000004</v>
      </c>
      <c r="F91" s="7">
        <f>SQRT((D91^2)+(E91^2))</f>
        <v>2.2386156436512277</v>
      </c>
      <c r="G91" s="7" t="str">
        <f>IF(AND(D91&gt;=0,E91&gt;=0),"K1",IF(AND(D91&gt;=0,E91&lt;=0),"K2",IF(AND(D91&lt;=0,E91&lt;=0),"K3",IF(AND(D91&lt;=0,E91&gt;=0),"K4"))))</f>
        <v>K3</v>
      </c>
      <c r="H91" s="2">
        <f>IF(G91="K1",(ATAN2(D91,E91))*(180/3.14)+180,IF(G91="K2",(ATAN2(D91,E91))*(180/3.14)+360,IF(G91="K3",(ATAN2(D91,E91))*(180/3.14)+0,IF(G91="K4",(ATAN2(D91,E91))*(180/3.14)+180,))))</f>
        <v>-165.86161515587699</v>
      </c>
      <c r="I91" s="7" t="str">
        <f t="shared" si="1"/>
        <v>U</v>
      </c>
      <c r="J91" s="2">
        <f>1.9438444924574*F91</f>
        <v>4.3515206896404166</v>
      </c>
    </row>
    <row r="92" spans="1:10" x14ac:dyDescent="0.25">
      <c r="A92" s="2" t="s">
        <v>115</v>
      </c>
      <c r="B92" s="2">
        <v>112.5</v>
      </c>
      <c r="C92" s="2">
        <v>-9</v>
      </c>
      <c r="D92" s="1">
        <v>-2.17</v>
      </c>
      <c r="E92" s="1">
        <v>-0.3</v>
      </c>
      <c r="F92" s="7">
        <f>SQRT((D92^2)+(E92^2))</f>
        <v>2.1906391761310213</v>
      </c>
      <c r="G92" s="7" t="str">
        <f>IF(AND(D92&gt;=0,E92&gt;=0),"K1",IF(AND(D92&gt;=0,E92&lt;=0),"K2",IF(AND(D92&lt;=0,E92&lt;=0),"K3",IF(AND(D92&lt;=0,E92&gt;=0),"K4"))))</f>
        <v>K3</v>
      </c>
      <c r="H92" s="2">
        <f>IF(G92="K1",(ATAN2(D92,E92))*(180/3.14)+180,IF(G92="K2",(ATAN2(D92,E92))*(180/3.14)+360,IF(G92="K3",(ATAN2(D92,E92))*(180/3.14)+0,IF(G92="K4",(ATAN2(D92,E92))*(180/3.14)+180,))))</f>
        <v>-172.21612429883621</v>
      </c>
      <c r="I92" s="7" t="str">
        <f t="shared" si="1"/>
        <v>U</v>
      </c>
      <c r="J92" s="2">
        <f>1.9438444924574*F92</f>
        <v>4.2582618974837025</v>
      </c>
    </row>
    <row r="93" spans="1:10" x14ac:dyDescent="0.25">
      <c r="A93" s="2" t="s">
        <v>116</v>
      </c>
      <c r="B93" s="2">
        <v>112.5</v>
      </c>
      <c r="C93" s="2">
        <v>-9</v>
      </c>
      <c r="D93" s="1">
        <v>-3.09</v>
      </c>
      <c r="E93" s="1">
        <v>1.65</v>
      </c>
      <c r="F93" s="7">
        <f>SQRT((D93^2)+(E93^2))</f>
        <v>3.5029416209808577</v>
      </c>
      <c r="G93" s="7" t="str">
        <f>IF(AND(D93&gt;=0,E93&gt;=0),"K1",IF(AND(D93&gt;=0,E93&lt;=0),"K2",IF(AND(D93&lt;=0,E93&lt;=0),"K3",IF(AND(D93&lt;=0,E93&gt;=0),"K4"))))</f>
        <v>K4</v>
      </c>
      <c r="H93" s="2">
        <f>IF(G93="K1",(ATAN2(D93,E93))*(180/3.14)+180,IF(G93="K2",(ATAN2(D93,E93))*(180/3.14)+360,IF(G93="K3",(ATAN2(D93,E93))*(180/3.14)+0,IF(G93="K4",(ATAN2(D93,E93))*(180/3.14)+180,))))</f>
        <v>331.97569389407874</v>
      </c>
      <c r="I93" s="7" t="str">
        <f t="shared" si="1"/>
        <v>BL</v>
      </c>
      <c r="J93" s="2">
        <f>1.9438444924574*F93</f>
        <v>6.809173777343438</v>
      </c>
    </row>
    <row r="94" spans="1:10" x14ac:dyDescent="0.25">
      <c r="A94" s="2" t="s">
        <v>117</v>
      </c>
      <c r="B94" s="2">
        <v>112.5</v>
      </c>
      <c r="C94" s="2">
        <v>-9</v>
      </c>
      <c r="D94" s="1">
        <v>-2.2999999999999998</v>
      </c>
      <c r="E94" s="1">
        <v>-1.07</v>
      </c>
      <c r="F94" s="7">
        <f>SQRT((D94^2)+(E94^2))</f>
        <v>2.5367104683033888</v>
      </c>
      <c r="G94" s="7" t="str">
        <f>IF(AND(D94&gt;=0,E94&gt;=0),"K1",IF(AND(D94&gt;=0,E94&lt;=0),"K2",IF(AND(D94&lt;=0,E94&lt;=0),"K3",IF(AND(D94&lt;=0,E94&gt;=0),"K4"))))</f>
        <v>K3</v>
      </c>
      <c r="H94" s="2">
        <f>IF(G94="K1",(ATAN2(D94,E94))*(180/3.14)+180,IF(G94="K2",(ATAN2(D94,E94))*(180/3.14)+360,IF(G94="K3",(ATAN2(D94,E94))*(180/3.14)+0,IF(G94="K4",(ATAN2(D94,E94))*(180/3.14)+180,))))</f>
        <v>-155.12997628193202</v>
      </c>
      <c r="I94" s="7" t="str">
        <f t="shared" si="1"/>
        <v>U</v>
      </c>
      <c r="J94" s="2">
        <f>1.9438444924574*F94</f>
        <v>4.9309706727705747</v>
      </c>
    </row>
    <row r="95" spans="1:10" x14ac:dyDescent="0.25">
      <c r="A95" s="2" t="s">
        <v>118</v>
      </c>
      <c r="B95" s="2">
        <v>112.5</v>
      </c>
      <c r="C95" s="2">
        <v>-9</v>
      </c>
      <c r="D95" s="1">
        <v>-1.84</v>
      </c>
      <c r="E95" s="1">
        <v>-2.12</v>
      </c>
      <c r="F95" s="7">
        <f>SQRT((D95^2)+(E95^2))</f>
        <v>2.8071337695236402</v>
      </c>
      <c r="G95" s="7" t="str">
        <f>IF(AND(D95&gt;=0,E95&gt;=0),"K1",IF(AND(D95&gt;=0,E95&lt;=0),"K2",IF(AND(D95&lt;=0,E95&lt;=0),"K3",IF(AND(D95&lt;=0,E95&gt;=0),"K4"))))</f>
        <v>K3</v>
      </c>
      <c r="H95" s="2">
        <f>IF(G95="K1",(ATAN2(D95,E95))*(180/3.14)+180,IF(G95="K2",(ATAN2(D95,E95))*(180/3.14)+360,IF(G95="K3",(ATAN2(D95,E95))*(180/3.14)+0,IF(G95="K4",(ATAN2(D95,E95))*(180/3.14)+180,))))</f>
        <v>-131.02193696408432</v>
      </c>
      <c r="I95" s="7" t="str">
        <f t="shared" si="1"/>
        <v>U</v>
      </c>
      <c r="J95" s="2">
        <f>1.9438444924574*F95</f>
        <v>5.4566315174797086</v>
      </c>
    </row>
    <row r="96" spans="1:10" x14ac:dyDescent="0.25">
      <c r="A96" s="2" t="s">
        <v>119</v>
      </c>
      <c r="B96" s="2">
        <v>112.5</v>
      </c>
      <c r="C96" s="2">
        <v>-9</v>
      </c>
      <c r="D96" s="1">
        <v>-1.83</v>
      </c>
      <c r="E96" s="1">
        <v>0.3</v>
      </c>
      <c r="F96" s="7">
        <f>SQRT((D96^2)+(E96^2))</f>
        <v>1.854427135263071</v>
      </c>
      <c r="G96" s="7" t="str">
        <f>IF(AND(D96&gt;=0,E96&gt;=0),"K1",IF(AND(D96&gt;=0,E96&lt;=0),"K2",IF(AND(D96&lt;=0,E96&lt;=0),"K3",IF(AND(D96&lt;=0,E96&gt;=0),"K4"))))</f>
        <v>K4</v>
      </c>
      <c r="H96" s="2">
        <f>IF(G96="K1",(ATAN2(D96,E96))*(180/3.14)+180,IF(G96="K2",(ATAN2(D96,E96))*(180/3.14)+360,IF(G96="K3",(ATAN2(D96,E96))*(180/3.14)+0,IF(G96="K4",(ATAN2(D96,E96))*(180/3.14)+180,))))</f>
        <v>350.77663630161339</v>
      </c>
      <c r="I96" s="7" t="str">
        <f t="shared" si="1"/>
        <v>U</v>
      </c>
      <c r="J96" s="2">
        <f>1.9438444924574*F96</f>
        <v>3.6047179735446746</v>
      </c>
    </row>
    <row r="97" spans="1:10" x14ac:dyDescent="0.25">
      <c r="A97" s="2" t="s">
        <v>120</v>
      </c>
      <c r="B97" s="2">
        <v>112.5</v>
      </c>
      <c r="C97" s="2">
        <v>-9</v>
      </c>
      <c r="D97" s="1">
        <v>-4.25</v>
      </c>
      <c r="E97" s="1">
        <v>1.92</v>
      </c>
      <c r="F97" s="7">
        <f>SQRT((D97^2)+(E97^2))</f>
        <v>4.6635715926744385</v>
      </c>
      <c r="G97" s="7" t="str">
        <f>IF(AND(D97&gt;=0,E97&gt;=0),"K1",IF(AND(D97&gt;=0,E97&lt;=0),"K2",IF(AND(D97&lt;=0,E97&lt;=0),"K3",IF(AND(D97&lt;=0,E97&gt;=0),"K4"))))</f>
        <v>K4</v>
      </c>
      <c r="H97" s="2">
        <f>IF(G97="K1",(ATAN2(D97,E97))*(180/3.14)+180,IF(G97="K2",(ATAN2(D97,E97))*(180/3.14)+360,IF(G97="K3",(ATAN2(D97,E97))*(180/3.14)+0,IF(G97="K4",(ATAN2(D97,E97))*(180/3.14)+180,))))</f>
        <v>335.76719423677991</v>
      </c>
      <c r="I97" s="7" t="str">
        <f t="shared" si="1"/>
        <v>BL</v>
      </c>
      <c r="J97" s="2">
        <f>1.9438444924574*F97</f>
        <v>9.0652579556009929</v>
      </c>
    </row>
    <row r="98" spans="1:10" x14ac:dyDescent="0.25">
      <c r="A98" s="2" t="s">
        <v>121</v>
      </c>
      <c r="B98" s="2">
        <v>112.5</v>
      </c>
      <c r="C98" s="2">
        <v>-9</v>
      </c>
      <c r="D98" s="1">
        <v>-3.26</v>
      </c>
      <c r="E98" s="1">
        <v>-0.95</v>
      </c>
      <c r="F98" s="7">
        <f>SQRT((D98^2)+(E98^2))</f>
        <v>3.3956000942396027</v>
      </c>
      <c r="G98" s="7" t="str">
        <f>IF(AND(D98&gt;=0,E98&gt;=0),"K1",IF(AND(D98&gt;=0,E98&lt;=0),"K2",IF(AND(D98&lt;=0,E98&lt;=0),"K3",IF(AND(D98&lt;=0,E98&gt;=0),"K4"))))</f>
        <v>K3</v>
      </c>
      <c r="H98" s="2">
        <f>IF(G98="K1",(ATAN2(D98,E98))*(180/3.14)+180,IF(G98="K2",(ATAN2(D98,E98))*(180/3.14)+360,IF(G98="K3",(ATAN2(D98,E98))*(180/3.14)+0,IF(G98="K4",(ATAN2(D98,E98))*(180/3.14)+180,))))</f>
        <v>-163.83635216871536</v>
      </c>
      <c r="I98" s="7" t="str">
        <f t="shared" si="1"/>
        <v>U</v>
      </c>
      <c r="J98" s="2">
        <f>1.9438444924574*F98</f>
        <v>6.6005185417754806</v>
      </c>
    </row>
    <row r="99" spans="1:10" x14ac:dyDescent="0.25">
      <c r="A99" s="2" t="s">
        <v>122</v>
      </c>
      <c r="B99" s="2">
        <v>112.5</v>
      </c>
      <c r="C99" s="2">
        <v>-9</v>
      </c>
      <c r="D99" s="1">
        <v>-4.16</v>
      </c>
      <c r="E99" s="1">
        <v>-1.45</v>
      </c>
      <c r="F99" s="7">
        <f>SQRT((D99^2)+(E99^2))</f>
        <v>4.40546251828341</v>
      </c>
      <c r="G99" s="7" t="str">
        <f>IF(AND(D99&gt;=0,E99&gt;=0),"K1",IF(AND(D99&gt;=0,E99&lt;=0),"K2",IF(AND(D99&lt;=0,E99&lt;=0),"K3",IF(AND(D99&lt;=0,E99&gt;=0),"K4"))))</f>
        <v>K3</v>
      </c>
      <c r="H99" s="2">
        <f>IF(G99="K1",(ATAN2(D99,E99))*(180/3.14)+180,IF(G99="K2",(ATAN2(D99,E99))*(180/3.14)+360,IF(G99="K3",(ATAN2(D99,E99))*(180/3.14)+0,IF(G99="K4",(ATAN2(D99,E99))*(180/3.14)+180,))))</f>
        <v>-160.86515836986459</v>
      </c>
      <c r="I99" s="7" t="str">
        <f t="shared" si="1"/>
        <v>U</v>
      </c>
      <c r="J99" s="2">
        <f>1.9438444924574*F99</f>
        <v>8.5635340528927149</v>
      </c>
    </row>
    <row r="100" spans="1:10" x14ac:dyDescent="0.25">
      <c r="A100" s="2" t="s">
        <v>123</v>
      </c>
      <c r="B100" s="2">
        <v>112.5</v>
      </c>
      <c r="C100" s="2">
        <v>-9</v>
      </c>
      <c r="D100" s="1">
        <v>-4.18</v>
      </c>
      <c r="E100" s="1">
        <v>0.48</v>
      </c>
      <c r="F100" s="7">
        <f>SQRT((D100^2)+(E100^2))</f>
        <v>4.2074695483152338</v>
      </c>
      <c r="G100" s="7" t="str">
        <f>IF(AND(D100&gt;=0,E100&gt;=0),"K1",IF(AND(D100&gt;=0,E100&lt;=0),"K2",IF(AND(D100&lt;=0,E100&lt;=0),"K3",IF(AND(D100&lt;=0,E100&gt;=0),"K4"))))</f>
        <v>K4</v>
      </c>
      <c r="H100" s="2">
        <f>IF(G100="K1",(ATAN2(D100,E100))*(180/3.14)+180,IF(G100="K2",(ATAN2(D100,E100))*(180/3.14)+360,IF(G100="K3",(ATAN2(D100,E100))*(180/3.14)+0,IF(G100="K4",(ATAN2(D100,E100))*(180/3.14)+180,))))</f>
        <v>353.53724951875051</v>
      </c>
      <c r="I100" s="7" t="str">
        <f t="shared" si="1"/>
        <v>U</v>
      </c>
      <c r="J100" s="2">
        <f>1.9438444924574*F100</f>
        <v>8.1786665086747927</v>
      </c>
    </row>
    <row r="101" spans="1:10" x14ac:dyDescent="0.25">
      <c r="A101" s="2" t="s">
        <v>124</v>
      </c>
      <c r="B101" s="2">
        <v>112.5</v>
      </c>
      <c r="C101" s="2">
        <v>-9</v>
      </c>
      <c r="D101" s="1">
        <v>-5.26</v>
      </c>
      <c r="E101" s="1">
        <v>0.39</v>
      </c>
      <c r="F101" s="7">
        <f>SQRT((D101^2)+(E101^2))</f>
        <v>5.2744383587259787</v>
      </c>
      <c r="G101" s="7" t="str">
        <f>IF(AND(D101&gt;=0,E101&gt;=0),"K1",IF(AND(D101&gt;=0,E101&lt;=0),"K2",IF(AND(D101&lt;=0,E101&lt;=0),"K3",IF(AND(D101&lt;=0,E101&gt;=0),"K4"))))</f>
        <v>K4</v>
      </c>
      <c r="H101" s="2">
        <f>IF(G101="K1",(ATAN2(D101,E101))*(180/3.14)+180,IF(G101="K2",(ATAN2(D101,E101))*(180/3.14)+360,IF(G101="K3",(ATAN2(D101,E101))*(180/3.14)+0,IF(G101="K4",(ATAN2(D101,E101))*(180/3.14)+180,))))</f>
        <v>355.84874070883353</v>
      </c>
      <c r="I101" s="7" t="str">
        <f t="shared" si="1"/>
        <v>U</v>
      </c>
      <c r="J101" s="2">
        <f>1.9438444924574*F101</f>
        <v>10.252687954415542</v>
      </c>
    </row>
    <row r="102" spans="1:10" x14ac:dyDescent="0.25">
      <c r="A102" s="2" t="s">
        <v>125</v>
      </c>
      <c r="B102" s="2">
        <v>112.5</v>
      </c>
      <c r="C102" s="2">
        <v>-9</v>
      </c>
      <c r="D102" s="1">
        <v>-2.33</v>
      </c>
      <c r="E102" s="1">
        <v>-2.14</v>
      </c>
      <c r="F102" s="7">
        <f>SQRT((D102^2)+(E102^2))</f>
        <v>3.1636213427020627</v>
      </c>
      <c r="G102" s="7" t="str">
        <f>IF(AND(D102&gt;=0,E102&gt;=0),"K1",IF(AND(D102&gt;=0,E102&lt;=0),"K2",IF(AND(D102&lt;=0,E102&lt;=0),"K3",IF(AND(D102&lt;=0,E102&gt;=0),"K4"))))</f>
        <v>K3</v>
      </c>
      <c r="H102" s="2">
        <f>IF(G102="K1",(ATAN2(D102,E102))*(180/3.14)+180,IF(G102="K2",(ATAN2(D102,E102))*(180/3.14)+360,IF(G102="K3",(ATAN2(D102,E102))*(180/3.14)+0,IF(G102="K4",(ATAN2(D102,E102))*(180/3.14)+180,))))</f>
        <v>-137.5036344517365</v>
      </c>
      <c r="I102" s="7" t="str">
        <f t="shared" si="1"/>
        <v>U</v>
      </c>
      <c r="J102" s="2">
        <f>1.9438444924574*F102</f>
        <v>6.1495879232320894</v>
      </c>
    </row>
    <row r="103" spans="1:10" x14ac:dyDescent="0.25">
      <c r="A103" s="2" t="s">
        <v>126</v>
      </c>
      <c r="B103" s="2">
        <v>112.5</v>
      </c>
      <c r="C103" s="2">
        <v>-9</v>
      </c>
      <c r="D103" s="1">
        <v>-2.65</v>
      </c>
      <c r="E103" s="1">
        <v>-1.1000000000000001</v>
      </c>
      <c r="F103" s="7">
        <f>SQRT((D103^2)+(E103^2))</f>
        <v>2.8692333470807143</v>
      </c>
      <c r="G103" s="7" t="str">
        <f>IF(AND(D103&gt;=0,E103&gt;=0),"K1",IF(AND(D103&gt;=0,E103&lt;=0),"K2",IF(AND(D103&lt;=0,E103&lt;=0),"K3",IF(AND(D103&lt;=0,E103&gt;=0),"K4"))))</f>
        <v>K3</v>
      </c>
      <c r="H103" s="2">
        <f>IF(G103="K1",(ATAN2(D103,E103))*(180/3.14)+180,IF(G103="K2",(ATAN2(D103,E103))*(180/3.14)+360,IF(G103="K3",(ATAN2(D103,E103))*(180/3.14)+0,IF(G103="K4",(ATAN2(D103,E103))*(180/3.14)+180,))))</f>
        <v>-157.53680344552686</v>
      </c>
      <c r="I103" s="7" t="str">
        <f t="shared" si="1"/>
        <v>U</v>
      </c>
      <c r="J103" s="2">
        <f>1.9438444924574*F103</f>
        <v>5.5773434392979588</v>
      </c>
    </row>
    <row r="104" spans="1:10" x14ac:dyDescent="0.25">
      <c r="A104" s="2" t="s">
        <v>127</v>
      </c>
      <c r="B104" s="2">
        <v>112.5</v>
      </c>
      <c r="C104" s="2">
        <v>-9</v>
      </c>
      <c r="D104" s="1">
        <v>-2.56</v>
      </c>
      <c r="E104" s="1">
        <v>1.98</v>
      </c>
      <c r="F104" s="7">
        <f>SQRT((D104^2)+(E104^2))</f>
        <v>3.2363559754761217</v>
      </c>
      <c r="G104" s="7" t="str">
        <f>IF(AND(D104&gt;=0,E104&gt;=0),"K1",IF(AND(D104&gt;=0,E104&lt;=0),"K2",IF(AND(D104&lt;=0,E104&lt;=0),"K3",IF(AND(D104&lt;=0,E104&gt;=0),"K4"))))</f>
        <v>K4</v>
      </c>
      <c r="H104" s="2">
        <f>IF(G104="K1",(ATAN2(D104,E104))*(180/3.14)+180,IF(G104="K2",(ATAN2(D104,E104))*(180/3.14)+360,IF(G104="K3",(ATAN2(D104,E104))*(180/3.14)+0,IF(G104="K4",(ATAN2(D104,E104))*(180/3.14)+180,))))</f>
        <v>322.35245571239068</v>
      </c>
      <c r="I104" s="7" t="str">
        <f t="shared" si="1"/>
        <v>BL</v>
      </c>
      <c r="J104" s="2">
        <f>1.9438444924574*F104</f>
        <v>6.290972738560856</v>
      </c>
    </row>
    <row r="105" spans="1:10" x14ac:dyDescent="0.25">
      <c r="A105" s="2" t="s">
        <v>128</v>
      </c>
      <c r="B105" s="2">
        <v>112.5</v>
      </c>
      <c r="C105" s="2">
        <v>-9</v>
      </c>
      <c r="D105" s="1">
        <v>-4.03</v>
      </c>
      <c r="E105" s="1">
        <v>1.03</v>
      </c>
      <c r="F105" s="7">
        <f>SQRT((D105^2)+(E105^2))</f>
        <v>4.1595432441555413</v>
      </c>
      <c r="G105" s="7" t="str">
        <f>IF(AND(D105&gt;=0,E105&gt;=0),"K1",IF(AND(D105&gt;=0,E105&lt;=0),"K2",IF(AND(D105&lt;=0,E105&lt;=0),"K3",IF(AND(D105&lt;=0,E105&gt;=0),"K4"))))</f>
        <v>K4</v>
      </c>
      <c r="H105" s="2">
        <f>IF(G105="K1",(ATAN2(D105,E105))*(180/3.14)+180,IF(G105="K2",(ATAN2(D105,E105))*(180/3.14)+360,IF(G105="K3",(ATAN2(D105,E105))*(180/3.14)+0,IF(G105="K4",(ATAN2(D105,E105))*(180/3.14)+180,))))</f>
        <v>345.74710845239923</v>
      </c>
      <c r="I105" s="7" t="str">
        <f t="shared" si="1"/>
        <v>U</v>
      </c>
      <c r="J105" s="2">
        <f>1.9438444924574*F105</f>
        <v>8.0855052262901363</v>
      </c>
    </row>
    <row r="106" spans="1:10" x14ac:dyDescent="0.25">
      <c r="A106" s="2" t="s">
        <v>129</v>
      </c>
      <c r="B106" s="2">
        <v>112.5</v>
      </c>
      <c r="C106" s="2">
        <v>-9</v>
      </c>
      <c r="D106" s="1">
        <v>-4.21</v>
      </c>
      <c r="E106" s="1">
        <v>-1.4</v>
      </c>
      <c r="F106" s="7">
        <f>SQRT((D106^2)+(E106^2))</f>
        <v>4.4366766841860361</v>
      </c>
      <c r="G106" s="7" t="str">
        <f>IF(AND(D106&gt;=0,E106&gt;=0),"K1",IF(AND(D106&gt;=0,E106&lt;=0),"K2",IF(AND(D106&lt;=0,E106&lt;=0),"K3",IF(AND(D106&lt;=0,E106&gt;=0),"K4"))))</f>
        <v>K3</v>
      </c>
      <c r="H106" s="2">
        <f>IF(G106="K1",(ATAN2(D106,E106))*(180/3.14)+180,IF(G106="K2",(ATAN2(D106,E106))*(180/3.14)+360,IF(G106="K3",(ATAN2(D106,E106))*(180/3.14)+0,IF(G106="K4",(ATAN2(D106,E106))*(180/3.14)+180,))))</f>
        <v>-161.68785807023096</v>
      </c>
      <c r="I106" s="7" t="str">
        <f t="shared" si="1"/>
        <v>U</v>
      </c>
      <c r="J106" s="2">
        <f>1.9438444924574*F106</f>
        <v>8.6242095373691861</v>
      </c>
    </row>
    <row r="107" spans="1:10" x14ac:dyDescent="0.25">
      <c r="A107" s="2" t="s">
        <v>130</v>
      </c>
      <c r="B107" s="2">
        <v>112.5</v>
      </c>
      <c r="C107" s="2">
        <v>-9</v>
      </c>
      <c r="D107" s="1">
        <v>-3.6</v>
      </c>
      <c r="E107" s="1">
        <v>-1.79</v>
      </c>
      <c r="F107" s="7">
        <f>SQRT((D107^2)+(E107^2))</f>
        <v>4.0204601726668061</v>
      </c>
      <c r="G107" s="7" t="str">
        <f>IF(AND(D107&gt;=0,E107&gt;=0),"K1",IF(AND(D107&gt;=0,E107&lt;=0),"K2",IF(AND(D107&lt;=0,E107&lt;=0),"K3",IF(AND(D107&lt;=0,E107&gt;=0),"K4"))))</f>
        <v>K3</v>
      </c>
      <c r="H107" s="2">
        <f>IF(G107="K1",(ATAN2(D107,E107))*(180/3.14)+180,IF(G107="K2",(ATAN2(D107,E107))*(180/3.14)+360,IF(G107="K3",(ATAN2(D107,E107))*(180/3.14)+0,IF(G107="K4",(ATAN2(D107,E107))*(180/3.14)+180,))))</f>
        <v>-153.64030328159384</v>
      </c>
      <c r="I107" s="7" t="str">
        <f t="shared" si="1"/>
        <v>U</v>
      </c>
      <c r="J107" s="2">
        <f>1.9438444924574*F107</f>
        <v>7.815149363782699</v>
      </c>
    </row>
    <row r="108" spans="1:10" x14ac:dyDescent="0.25">
      <c r="A108" s="2" t="s">
        <v>131</v>
      </c>
      <c r="B108" s="2">
        <v>112.5</v>
      </c>
      <c r="C108" s="2">
        <v>-9</v>
      </c>
      <c r="D108" s="1">
        <v>-3.57</v>
      </c>
      <c r="E108" s="1">
        <v>3.66</v>
      </c>
      <c r="F108" s="7">
        <f>SQRT((D108^2)+(E108^2))</f>
        <v>5.1127781097951051</v>
      </c>
      <c r="G108" s="7" t="str">
        <f>IF(AND(D108&gt;=0,E108&gt;=0),"K1",IF(AND(D108&gt;=0,E108&lt;=0),"K2",IF(AND(D108&lt;=0,E108&lt;=0),"K3",IF(AND(D108&lt;=0,E108&gt;=0),"K4"))))</f>
        <v>K4</v>
      </c>
      <c r="H108" s="2">
        <f>IF(G108="K1",(ATAN2(D108,E108))*(180/3.14)+180,IF(G108="K2",(ATAN2(D108,E108))*(180/3.14)+360,IF(G108="K3",(ATAN2(D108,E108))*(180/3.14)+0,IF(G108="K4",(ATAN2(D108,E108))*(180/3.14)+180,))))</f>
        <v>314.35492358542263</v>
      </c>
      <c r="I108" s="7" t="str">
        <f t="shared" si="1"/>
        <v>BL</v>
      </c>
      <c r="J108" s="2">
        <f>1.9438444924574*F108</f>
        <v>9.9384455698819707</v>
      </c>
    </row>
    <row r="109" spans="1:10" x14ac:dyDescent="0.25">
      <c r="A109" s="2" t="s">
        <v>132</v>
      </c>
      <c r="B109" s="2">
        <v>112.5</v>
      </c>
      <c r="C109" s="2">
        <v>-9</v>
      </c>
      <c r="D109" s="1">
        <v>-4.45</v>
      </c>
      <c r="E109" s="1">
        <v>2.6</v>
      </c>
      <c r="F109" s="7">
        <f>SQRT((D109^2)+(E109^2))</f>
        <v>5.153882032022076</v>
      </c>
      <c r="G109" s="7" t="str">
        <f>IF(AND(D109&gt;=0,E109&gt;=0),"K1",IF(AND(D109&gt;=0,E109&lt;=0),"K2",IF(AND(D109&lt;=0,E109&lt;=0),"K3",IF(AND(D109&lt;=0,E109&gt;=0),"K4"))))</f>
        <v>K4</v>
      </c>
      <c r="H109" s="2">
        <f>IF(G109="K1",(ATAN2(D109,E109))*(180/3.14)+180,IF(G109="K2",(ATAN2(D109,E109))*(180/3.14)+360,IF(G109="K3",(ATAN2(D109,E109))*(180/3.14)+0,IF(G109="K4",(ATAN2(D109,E109))*(180/3.14)+180,))))</f>
        <v>329.77948363879875</v>
      </c>
      <c r="I109" s="7" t="str">
        <f t="shared" si="1"/>
        <v>BL</v>
      </c>
      <c r="J109" s="2">
        <f>1.9438444924574*F109</f>
        <v>10.018345202721266</v>
      </c>
    </row>
    <row r="110" spans="1:10" x14ac:dyDescent="0.25">
      <c r="A110" s="2" t="s">
        <v>133</v>
      </c>
      <c r="B110" s="2">
        <v>112.5</v>
      </c>
      <c r="C110" s="2">
        <v>-9</v>
      </c>
      <c r="D110" s="1">
        <v>-3.55</v>
      </c>
      <c r="E110" s="1">
        <v>-0.15</v>
      </c>
      <c r="F110" s="7">
        <f>SQRT((D110^2)+(E110^2))</f>
        <v>3.5531676008879738</v>
      </c>
      <c r="G110" s="7" t="str">
        <f>IF(AND(D110&gt;=0,E110&gt;=0),"K1",IF(AND(D110&gt;=0,E110&lt;=0),"K2",IF(AND(D110&lt;=0,E110&lt;=0),"K3",IF(AND(D110&lt;=0,E110&gt;=0),"K4"))))</f>
        <v>K3</v>
      </c>
      <c r="H110" s="2">
        <f>IF(G110="K1",(ATAN2(D110,E110))*(180/3.14)+180,IF(G110="K2",(ATAN2(D110,E110))*(180/3.14)+360,IF(G110="K3",(ATAN2(D110,E110))*(180/3.14)+0,IF(G110="K4",(ATAN2(D110,E110))*(180/3.14)+180,))))</f>
        <v>-177.67056218656765</v>
      </c>
      <c r="I110" s="7" t="str">
        <f t="shared" si="1"/>
        <v>U</v>
      </c>
      <c r="J110" s="2">
        <f>1.9438444924574*F110</f>
        <v>6.9068052717641617</v>
      </c>
    </row>
    <row r="111" spans="1:10" x14ac:dyDescent="0.25">
      <c r="A111" s="2" t="s">
        <v>134</v>
      </c>
      <c r="B111" s="2">
        <v>112.5</v>
      </c>
      <c r="C111" s="2">
        <v>-9</v>
      </c>
      <c r="D111" s="1">
        <v>-2.25</v>
      </c>
      <c r="E111" s="1">
        <v>0.04</v>
      </c>
      <c r="F111" s="7">
        <f>SQRT((D111^2)+(E111^2))</f>
        <v>2.2503555274667155</v>
      </c>
      <c r="G111" s="7" t="str">
        <f>IF(AND(D111&gt;=0,E111&gt;=0),"K1",IF(AND(D111&gt;=0,E111&lt;=0),"K2",IF(AND(D111&lt;=0,E111&lt;=0),"K3",IF(AND(D111&lt;=0,E111&gt;=0),"K4"))))</f>
        <v>K4</v>
      </c>
      <c r="H111" s="2">
        <f>IF(G111="K1",(ATAN2(D111,E111))*(180/3.14)+180,IF(G111="K2",(ATAN2(D111,E111))*(180/3.14)+360,IF(G111="K3",(ATAN2(D111,E111))*(180/3.14)+0,IF(G111="K4",(ATAN2(D111,E111))*(180/3.14)+180,))))</f>
        <v>359.07229767566594</v>
      </c>
      <c r="I111" s="7" t="str">
        <f t="shared" si="1"/>
        <v>U</v>
      </c>
      <c r="J111" s="2">
        <f>1.9438444924574*F111</f>
        <v>4.3743411981372429</v>
      </c>
    </row>
    <row r="112" spans="1:10" x14ac:dyDescent="0.25">
      <c r="A112" s="2" t="s">
        <v>135</v>
      </c>
      <c r="B112" s="2">
        <v>112.5</v>
      </c>
      <c r="C112" s="2">
        <v>-9</v>
      </c>
      <c r="D112" s="1">
        <v>-3.81</v>
      </c>
      <c r="E112" s="1">
        <v>1.24</v>
      </c>
      <c r="F112" s="7">
        <f>SQRT((D112^2)+(E112^2))</f>
        <v>4.0067068772247367</v>
      </c>
      <c r="G112" s="7" t="str">
        <f>IF(AND(D112&gt;=0,E112&gt;=0),"K1",IF(AND(D112&gt;=0,E112&lt;=0),"K2",IF(AND(D112&lt;=0,E112&lt;=0),"K3",IF(AND(D112&lt;=0,E112&gt;=0),"K4"))))</f>
        <v>K4</v>
      </c>
      <c r="H112" s="2">
        <f>IF(G112="K1",(ATAN2(D112,E112))*(180/3.14)+180,IF(G112="K2",(ATAN2(D112,E112))*(180/3.14)+360,IF(G112="K3",(ATAN2(D112,E112))*(180/3.14)+0,IF(G112="K4",(ATAN2(D112,E112))*(180/3.14)+180,))))</f>
        <v>342.05419338911435</v>
      </c>
      <c r="I112" s="7" t="str">
        <f t="shared" si="1"/>
        <v>U</v>
      </c>
      <c r="J112" s="2">
        <f>1.9438444924574*F112</f>
        <v>7.7884150961844929</v>
      </c>
    </row>
    <row r="113" spans="1:10" x14ac:dyDescent="0.25">
      <c r="A113" s="2" t="s">
        <v>136</v>
      </c>
      <c r="B113" s="2">
        <v>112.5</v>
      </c>
      <c r="C113" s="2">
        <v>-9</v>
      </c>
      <c r="D113" s="1">
        <v>-3.62</v>
      </c>
      <c r="E113" s="1">
        <v>3.16</v>
      </c>
      <c r="F113" s="7">
        <f>SQRT((D113^2)+(E113^2))</f>
        <v>4.805205510693586</v>
      </c>
      <c r="G113" s="7" t="str">
        <f>IF(AND(D113&gt;=0,E113&gt;=0),"K1",IF(AND(D113&gt;=0,E113&lt;=0),"K2",IF(AND(D113&lt;=0,E113&lt;=0),"K3",IF(AND(D113&lt;=0,E113&gt;=0),"K4"))))</f>
        <v>K4</v>
      </c>
      <c r="H113" s="2">
        <f>IF(G113="K1",(ATAN2(D113,E113))*(180/3.14)+180,IF(G113="K2",(ATAN2(D113,E113))*(180/3.14)+360,IF(G113="K3",(ATAN2(D113,E113))*(180/3.14)+0,IF(G113="K4",(ATAN2(D113,E113))*(180/3.14)+180,))))</f>
        <v>318.95181868255759</v>
      </c>
      <c r="I113" s="7" t="str">
        <f t="shared" si="1"/>
        <v>BL</v>
      </c>
      <c r="J113" s="2">
        <f>1.9438444924574*F113</f>
        <v>9.3405722670876763</v>
      </c>
    </row>
    <row r="114" spans="1:10" x14ac:dyDescent="0.25">
      <c r="A114" s="2" t="s">
        <v>137</v>
      </c>
      <c r="B114" s="2">
        <v>112.5</v>
      </c>
      <c r="C114" s="2">
        <v>-9</v>
      </c>
      <c r="D114" s="1">
        <v>-3.33</v>
      </c>
      <c r="E114" s="1">
        <v>1.28</v>
      </c>
      <c r="F114" s="7">
        <f>SQRT((D114^2)+(E114^2))</f>
        <v>3.5675341624152672</v>
      </c>
      <c r="G114" s="7" t="str">
        <f>IF(AND(D114&gt;=0,E114&gt;=0),"K1",IF(AND(D114&gt;=0,E114&lt;=0),"K2",IF(AND(D114&lt;=0,E114&lt;=0),"K3",IF(AND(D114&lt;=0,E114&gt;=0),"K4"))))</f>
        <v>K4</v>
      </c>
      <c r="H114" s="2">
        <f>IF(G114="K1",(ATAN2(D114,E114))*(180/3.14)+180,IF(G114="K2",(ATAN2(D114,E114))*(180/3.14)+360,IF(G114="K3",(ATAN2(D114,E114))*(180/3.14)+0,IF(G114="K4",(ATAN2(D114,E114))*(180/3.14)+180,))))</f>
        <v>339.0546535512317</v>
      </c>
      <c r="I114" s="7" t="str">
        <f t="shared" si="1"/>
        <v>U</v>
      </c>
      <c r="J114" s="2">
        <f>1.9438444924574*F114</f>
        <v>6.9347316332645415</v>
      </c>
    </row>
    <row r="115" spans="1:10" x14ac:dyDescent="0.25">
      <c r="A115" s="2" t="s">
        <v>138</v>
      </c>
      <c r="B115" s="2">
        <v>112.5</v>
      </c>
      <c r="C115" s="2">
        <v>-9</v>
      </c>
      <c r="D115" s="1">
        <v>-2.71</v>
      </c>
      <c r="E115" s="1">
        <v>-0.92</v>
      </c>
      <c r="F115" s="7">
        <f>SQRT((D115^2)+(E115^2))</f>
        <v>2.8619049599873159</v>
      </c>
      <c r="G115" s="7" t="str">
        <f>IF(AND(D115&gt;=0,E115&gt;=0),"K1",IF(AND(D115&gt;=0,E115&lt;=0),"K2",IF(AND(D115&lt;=0,E115&lt;=0),"K3",IF(AND(D115&lt;=0,E115&gt;=0),"K4"))))</f>
        <v>K3</v>
      </c>
      <c r="H115" s="2">
        <f>IF(G115="K1",(ATAN2(D115,E115))*(180/3.14)+180,IF(G115="K2",(ATAN2(D115,E115))*(180/3.14)+360,IF(G115="K3",(ATAN2(D115,E115))*(180/3.14)+0,IF(G115="K4",(ATAN2(D115,E115))*(180/3.14)+180,))))</f>
        <v>-161.33029071176625</v>
      </c>
      <c r="I115" s="7" t="str">
        <f t="shared" si="1"/>
        <v>U</v>
      </c>
      <c r="J115" s="2">
        <f>1.9438444924574*F115</f>
        <v>5.5630981944078597</v>
      </c>
    </row>
    <row r="116" spans="1:10" x14ac:dyDescent="0.25">
      <c r="A116" s="2" t="s">
        <v>139</v>
      </c>
      <c r="B116" s="2">
        <v>112.5</v>
      </c>
      <c r="C116" s="2">
        <v>-9</v>
      </c>
      <c r="D116" s="1">
        <v>-1.49</v>
      </c>
      <c r="E116" s="1">
        <v>1.63</v>
      </c>
      <c r="F116" s="7">
        <f>SQRT((D116^2)+(E116^2))</f>
        <v>2.2083930809527548</v>
      </c>
      <c r="G116" s="7" t="str">
        <f>IF(AND(D116&gt;=0,E116&gt;=0),"K1",IF(AND(D116&gt;=0,E116&lt;=0),"K2",IF(AND(D116&lt;=0,E116&lt;=0),"K3",IF(AND(D116&lt;=0,E116&gt;=0),"K4"))))</f>
        <v>K4</v>
      </c>
      <c r="H116" s="2">
        <f>IF(G116="K1",(ATAN2(D116,E116))*(180/3.14)+180,IF(G116="K2",(ATAN2(D116,E116))*(180/3.14)+360,IF(G116="K3",(ATAN2(D116,E116))*(180/3.14)+0,IF(G116="K4",(ATAN2(D116,E116))*(180/3.14)+180,))))</f>
        <v>312.49792978357414</v>
      </c>
      <c r="I116" s="7" t="str">
        <f t="shared" si="1"/>
        <v>BL</v>
      </c>
      <c r="J116" s="2">
        <f>1.9438444924574*F116</f>
        <v>4.2927727275910419</v>
      </c>
    </row>
    <row r="117" spans="1:10" x14ac:dyDescent="0.25">
      <c r="A117" s="2" t="s">
        <v>140</v>
      </c>
      <c r="B117" s="2">
        <v>112.5</v>
      </c>
      <c r="C117" s="2">
        <v>-9</v>
      </c>
      <c r="D117" s="1">
        <v>-2.2000000000000002</v>
      </c>
      <c r="E117" s="1">
        <v>3.02</v>
      </c>
      <c r="F117" s="7">
        <f>SQRT((D117^2)+(E117^2))</f>
        <v>3.7363618668431995</v>
      </c>
      <c r="G117" s="7" t="str">
        <f>IF(AND(D117&gt;=0,E117&gt;=0),"K1",IF(AND(D117&gt;=0,E117&lt;=0),"K2",IF(AND(D117&lt;=0,E117&lt;=0),"K3",IF(AND(D117&lt;=0,E117&gt;=0),"K4"))))</f>
        <v>K4</v>
      </c>
      <c r="H117" s="2">
        <f>IF(G117="K1",(ATAN2(D117,E117))*(180/3.14)+180,IF(G117="K2",(ATAN2(D117,E117))*(180/3.14)+360,IF(G117="K3",(ATAN2(D117,E117))*(180/3.14)+0,IF(G117="K4",(ATAN2(D117,E117))*(180/3.14)+180,))))</f>
        <v>306.13641619551441</v>
      </c>
      <c r="I117" s="7" t="str">
        <f t="shared" si="1"/>
        <v>BL</v>
      </c>
      <c r="J117" s="2">
        <f>1.9438444924574*F117</f>
        <v>7.2629064366910034</v>
      </c>
    </row>
    <row r="118" spans="1:10" x14ac:dyDescent="0.25">
      <c r="A118" s="2" t="s">
        <v>141</v>
      </c>
      <c r="B118" s="2">
        <v>112.5</v>
      </c>
      <c r="C118" s="2">
        <v>-9</v>
      </c>
      <c r="D118" s="1">
        <v>-1.79</v>
      </c>
      <c r="E118" s="1">
        <v>-0.51</v>
      </c>
      <c r="F118" s="7">
        <f>SQRT((D118^2)+(E118^2))</f>
        <v>1.8612361483702169</v>
      </c>
      <c r="G118" s="7" t="str">
        <f>IF(AND(D118&gt;=0,E118&gt;=0),"K1",IF(AND(D118&gt;=0,E118&lt;=0),"K2",IF(AND(D118&lt;=0,E118&lt;=0),"K3",IF(AND(D118&lt;=0,E118&gt;=0),"K4"))))</f>
        <v>K3</v>
      </c>
      <c r="H118" s="2">
        <f>IF(G118="K1",(ATAN2(D118,E118))*(180/3.14)+180,IF(G118="K2",(ATAN2(D118,E118))*(180/3.14)+360,IF(G118="K3",(ATAN2(D118,E118))*(180/3.14)+0,IF(G118="K4",(ATAN2(D118,E118))*(180/3.14)+180,))))</f>
        <v>-164.18012112405683</v>
      </c>
      <c r="I118" s="7" t="str">
        <f t="shared" si="1"/>
        <v>U</v>
      </c>
      <c r="J118" s="2">
        <f>1.9438444924574*F118</f>
        <v>3.6179536361720706</v>
      </c>
    </row>
    <row r="119" spans="1:10" x14ac:dyDescent="0.25">
      <c r="A119" s="2" t="s">
        <v>142</v>
      </c>
      <c r="B119" s="2">
        <v>112.5</v>
      </c>
      <c r="C119" s="2">
        <v>-9</v>
      </c>
      <c r="D119" s="1">
        <v>-3.02</v>
      </c>
      <c r="E119" s="1">
        <v>0.37</v>
      </c>
      <c r="F119" s="7">
        <f>SQRT((D119^2)+(E119^2))</f>
        <v>3.0425811410708508</v>
      </c>
      <c r="G119" s="7" t="str">
        <f>IF(AND(D119&gt;=0,E119&gt;=0),"K1",IF(AND(D119&gt;=0,E119&lt;=0),"K2",IF(AND(D119&lt;=0,E119&lt;=0),"K3",IF(AND(D119&lt;=0,E119&gt;=0),"K4"))))</f>
        <v>K4</v>
      </c>
      <c r="H119" s="2">
        <f>IF(G119="K1",(ATAN2(D119,E119))*(180/3.14)+180,IF(G119="K2",(ATAN2(D119,E119))*(180/3.14)+360,IF(G119="K3",(ATAN2(D119,E119))*(180/3.14)+0,IF(G119="K4",(ATAN2(D119,E119))*(180/3.14)+180,))))</f>
        <v>353.1028837456339</v>
      </c>
      <c r="I119" s="7" t="str">
        <f t="shared" si="1"/>
        <v>U</v>
      </c>
      <c r="J119" s="2">
        <f>1.9438444924574*F119</f>
        <v>5.9143045939253254</v>
      </c>
    </row>
    <row r="120" spans="1:10" x14ac:dyDescent="0.25">
      <c r="A120" s="2" t="s">
        <v>143</v>
      </c>
      <c r="B120" s="2">
        <v>112.5</v>
      </c>
      <c r="C120" s="2">
        <v>-9</v>
      </c>
      <c r="D120" s="1">
        <v>-3.74</v>
      </c>
      <c r="E120" s="1">
        <v>1.62</v>
      </c>
      <c r="F120" s="7">
        <f>SQRT((D120^2)+(E120^2))</f>
        <v>4.0757821335297111</v>
      </c>
      <c r="G120" s="7" t="str">
        <f>IF(AND(D120&gt;=0,E120&gt;=0),"K1",IF(AND(D120&gt;=0,E120&lt;=0),"K2",IF(AND(D120&lt;=0,E120&lt;=0),"K3",IF(AND(D120&lt;=0,E120&gt;=0),"K4"))))</f>
        <v>K4</v>
      </c>
      <c r="H120" s="2">
        <f>IF(G120="K1",(ATAN2(D120,E120))*(180/3.14)+180,IF(G120="K2",(ATAN2(D120,E120))*(180/3.14)+360,IF(G120="K3",(ATAN2(D120,E120))*(180/3.14)+0,IF(G120="K4",(ATAN2(D120,E120))*(180/3.14)+180,))))</f>
        <v>336.65932588947942</v>
      </c>
      <c r="I120" s="7" t="str">
        <f t="shared" si="1"/>
        <v>BL</v>
      </c>
      <c r="J120" s="2">
        <f>1.9438444924574*F120</f>
        <v>7.9226866527180002</v>
      </c>
    </row>
    <row r="121" spans="1:10" x14ac:dyDescent="0.25">
      <c r="A121" s="2" t="s">
        <v>144</v>
      </c>
      <c r="B121" s="2">
        <v>112.5</v>
      </c>
      <c r="C121" s="2">
        <v>-9</v>
      </c>
      <c r="D121" s="1">
        <v>-4.1500000000000004</v>
      </c>
      <c r="E121" s="1">
        <v>1.98</v>
      </c>
      <c r="F121" s="7">
        <f>SQRT((D121^2)+(E121^2))</f>
        <v>4.5981409286797641</v>
      </c>
      <c r="G121" s="7" t="str">
        <f>IF(AND(D121&gt;=0,E121&gt;=0),"K1",IF(AND(D121&gt;=0,E121&lt;=0),"K2",IF(AND(D121&lt;=0,E121&lt;=0),"K3",IF(AND(D121&lt;=0,E121&gt;=0),"K4"))))</f>
        <v>K4</v>
      </c>
      <c r="H121" s="2">
        <f>IF(G121="K1",(ATAN2(D121,E121))*(180/3.14)+180,IF(G121="K2",(ATAN2(D121,E121))*(180/3.14)+360,IF(G121="K3",(ATAN2(D121,E121))*(180/3.14)+0,IF(G121="K4",(ATAN2(D121,E121))*(180/3.14)+180,))))</f>
        <v>334.57215844994766</v>
      </c>
      <c r="I121" s="7" t="str">
        <f t="shared" si="1"/>
        <v>BL</v>
      </c>
      <c r="J121" s="2">
        <f>1.9438444924574*F121</f>
        <v>8.9380709197571147</v>
      </c>
    </row>
    <row r="122" spans="1:10" x14ac:dyDescent="0.25">
      <c r="A122" s="2" t="s">
        <v>145</v>
      </c>
      <c r="B122" s="2">
        <v>112.5</v>
      </c>
      <c r="C122" s="2">
        <v>-9</v>
      </c>
      <c r="D122" s="1">
        <v>-3.06</v>
      </c>
      <c r="E122" s="1">
        <v>0.95</v>
      </c>
      <c r="F122" s="7">
        <f>SQRT((D122^2)+(E122^2))</f>
        <v>3.2040755296965147</v>
      </c>
      <c r="G122" s="7" t="str">
        <f>IF(AND(D122&gt;=0,E122&gt;=0),"K1",IF(AND(D122&gt;=0,E122&lt;=0),"K2",IF(AND(D122&lt;=0,E122&lt;=0),"K3",IF(AND(D122&lt;=0,E122&gt;=0),"K4"))))</f>
        <v>K4</v>
      </c>
      <c r="H122" s="2">
        <f>IF(G122="K1",(ATAN2(D122,E122))*(180/3.14)+180,IF(G122="K2",(ATAN2(D122,E122))*(180/3.14)+360,IF(G122="K3",(ATAN2(D122,E122))*(180/3.14)+0,IF(G122="K4",(ATAN2(D122,E122))*(180/3.14)+180,))))</f>
        <v>342.83520193431445</v>
      </c>
      <c r="I122" s="7" t="str">
        <f t="shared" si="1"/>
        <v>U</v>
      </c>
      <c r="J122" s="2">
        <f>1.9438444924574*F122</f>
        <v>6.2282245718180969</v>
      </c>
    </row>
    <row r="123" spans="1:10" x14ac:dyDescent="0.25">
      <c r="A123" s="2" t="s">
        <v>146</v>
      </c>
      <c r="B123" s="2">
        <v>112.5</v>
      </c>
      <c r="C123" s="2">
        <v>-9</v>
      </c>
      <c r="D123" s="1">
        <v>-3.48</v>
      </c>
      <c r="E123" s="1">
        <v>1.57</v>
      </c>
      <c r="F123" s="7">
        <f>SQRT((D123^2)+(E123^2))</f>
        <v>3.8177611240097251</v>
      </c>
      <c r="G123" s="7" t="str">
        <f>IF(AND(D123&gt;=0,E123&gt;=0),"K1",IF(AND(D123&gt;=0,E123&lt;=0),"K2",IF(AND(D123&lt;=0,E123&lt;=0),"K3",IF(AND(D123&lt;=0,E123&gt;=0),"K4"))))</f>
        <v>K4</v>
      </c>
      <c r="H123" s="2">
        <f>IF(G123="K1",(ATAN2(D123,E123))*(180/3.14)+180,IF(G123="K2",(ATAN2(D123,E123))*(180/3.14)+360,IF(G123="K3",(ATAN2(D123,E123))*(180/3.14)+0,IF(G123="K4",(ATAN2(D123,E123))*(180/3.14)+180,))))</f>
        <v>335.79649351142723</v>
      </c>
      <c r="I123" s="7" t="str">
        <f t="shared" si="1"/>
        <v>BL</v>
      </c>
      <c r="J123" s="2">
        <f>1.9438444924574*F123</f>
        <v>7.4211339344242777</v>
      </c>
    </row>
    <row r="124" spans="1:10" x14ac:dyDescent="0.25">
      <c r="A124" s="2" t="s">
        <v>147</v>
      </c>
      <c r="B124" s="2">
        <v>112.5</v>
      </c>
      <c r="C124" s="2">
        <v>-9</v>
      </c>
      <c r="D124" s="1">
        <v>-2.42</v>
      </c>
      <c r="E124" s="1">
        <v>2.93</v>
      </c>
      <c r="F124" s="7">
        <f>SQRT((D124^2)+(E124^2))</f>
        <v>3.8001710487818836</v>
      </c>
      <c r="G124" s="7" t="str">
        <f>IF(AND(D124&gt;=0,E124&gt;=0),"K1",IF(AND(D124&gt;=0,E124&lt;=0),"K2",IF(AND(D124&lt;=0,E124&lt;=0),"K3",IF(AND(D124&lt;=0,E124&gt;=0),"K4"))))</f>
        <v>K4</v>
      </c>
      <c r="H124" s="2">
        <f>IF(G124="K1",(ATAN2(D124,E124))*(180/3.14)+180,IF(G124="K2",(ATAN2(D124,E124))*(180/3.14)+360,IF(G124="K3",(ATAN2(D124,E124))*(180/3.14)+0,IF(G124="K4",(ATAN2(D124,E124))*(180/3.14)+180,))))</f>
        <v>309.62032607540522</v>
      </c>
      <c r="I124" s="7" t="str">
        <f t="shared" si="1"/>
        <v>BL</v>
      </c>
      <c r="J124" s="2">
        <f>1.9438444924574*F124</f>
        <v>7.3869415635707263</v>
      </c>
    </row>
    <row r="125" spans="1:10" x14ac:dyDescent="0.25">
      <c r="A125" s="2" t="s">
        <v>148</v>
      </c>
      <c r="B125" s="2">
        <v>112.5</v>
      </c>
      <c r="C125" s="2">
        <v>-9</v>
      </c>
      <c r="D125" s="1">
        <v>-3.85</v>
      </c>
      <c r="E125" s="1">
        <v>2.5</v>
      </c>
      <c r="F125" s="7">
        <f>SQRT((D125^2)+(E125^2))</f>
        <v>4.5904792778096715</v>
      </c>
      <c r="G125" s="7" t="str">
        <f>IF(AND(D125&gt;=0,E125&gt;=0),"K1",IF(AND(D125&gt;=0,E125&lt;=0),"K2",IF(AND(D125&lt;=0,E125&lt;=0),"K3",IF(AND(D125&lt;=0,E125&gt;=0),"K4"))))</f>
        <v>K4</v>
      </c>
      <c r="H125" s="2">
        <f>IF(G125="K1",(ATAN2(D125,E125))*(180/3.14)+180,IF(G125="K2",(ATAN2(D125,E125))*(180/3.14)+360,IF(G125="K3",(ATAN2(D125,E125))*(180/3.14)+0,IF(G125="K4",(ATAN2(D125,E125))*(180/3.14)+180,))))</f>
        <v>327.07685659708892</v>
      </c>
      <c r="I125" s="7" t="str">
        <f t="shared" si="1"/>
        <v>BL</v>
      </c>
      <c r="J125" s="2">
        <f>1.9438444924574*F125</f>
        <v>8.9231778619101529</v>
      </c>
    </row>
    <row r="126" spans="1:10" x14ac:dyDescent="0.25">
      <c r="A126" s="2" t="s">
        <v>149</v>
      </c>
      <c r="B126" s="2">
        <v>112.5</v>
      </c>
      <c r="C126" s="2">
        <v>-9</v>
      </c>
      <c r="D126" s="1">
        <v>-3.82</v>
      </c>
      <c r="E126" s="1">
        <v>-0.78</v>
      </c>
      <c r="F126" s="7">
        <f>SQRT((D126^2)+(E126^2))</f>
        <v>3.8988203344088581</v>
      </c>
      <c r="G126" s="7" t="str">
        <f>IF(AND(D126&gt;=0,E126&gt;=0),"K1",IF(AND(D126&gt;=0,E126&lt;=0),"K2",IF(AND(D126&lt;=0,E126&lt;=0),"K3",IF(AND(D126&lt;=0,E126&gt;=0),"K4"))))</f>
        <v>K3</v>
      </c>
      <c r="H126" s="2">
        <f>IF(G126="K1",(ATAN2(D126,E126))*(180/3.14)+180,IF(G126="K2",(ATAN2(D126,E126))*(180/3.14)+360,IF(G126="K3",(ATAN2(D126,E126))*(180/3.14)+0,IF(G126="K4",(ATAN2(D126,E126))*(180/3.14)+180,))))</f>
        <v>-168.54494735880422</v>
      </c>
      <c r="I126" s="7" t="str">
        <f t="shared" si="1"/>
        <v>U</v>
      </c>
      <c r="J126" s="2">
        <f>1.9438444924574*F126</f>
        <v>7.5787004341215773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J1:J2"/>
    <mergeCell ref="I1:I2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opLeftCell="C1" workbookViewId="0">
      <selection activeCell="R1" sqref="R1"/>
    </sheetView>
  </sheetViews>
  <sheetFormatPr defaultRowHeight="15" x14ac:dyDescent="0.25"/>
  <cols>
    <col min="1" max="1" width="16.85546875" customWidth="1"/>
    <col min="2" max="2" width="22.140625" customWidth="1"/>
    <col min="4" max="4" width="11.28515625" bestFit="1" customWidth="1"/>
    <col min="5" max="5" width="15" bestFit="1" customWidth="1"/>
  </cols>
  <sheetData>
    <row r="1" spans="1:2" ht="15.75" thickBot="1" x14ac:dyDescent="0.3">
      <c r="A1" s="3" t="s">
        <v>5</v>
      </c>
      <c r="B1" s="4" t="s">
        <v>9</v>
      </c>
    </row>
    <row r="2" spans="1:2" ht="18" thickBot="1" x14ac:dyDescent="0.3">
      <c r="A2" s="5" t="s">
        <v>10</v>
      </c>
      <c r="B2" s="6" t="s">
        <v>11</v>
      </c>
    </row>
    <row r="3" spans="1:2" ht="18" thickBot="1" x14ac:dyDescent="0.3">
      <c r="A3" s="5" t="s">
        <v>12</v>
      </c>
      <c r="B3" s="6" t="s">
        <v>13</v>
      </c>
    </row>
    <row r="4" spans="1:2" ht="18" thickBot="1" x14ac:dyDescent="0.3">
      <c r="A4" s="5" t="s">
        <v>14</v>
      </c>
      <c r="B4" s="6" t="s">
        <v>15</v>
      </c>
    </row>
    <row r="5" spans="1:2" ht="18" thickBot="1" x14ac:dyDescent="0.3">
      <c r="A5" s="5" t="s">
        <v>16</v>
      </c>
      <c r="B5" s="6" t="s">
        <v>17</v>
      </c>
    </row>
    <row r="6" spans="1:2" ht="18" thickBot="1" x14ac:dyDescent="0.3">
      <c r="A6" s="5" t="s">
        <v>18</v>
      </c>
      <c r="B6" s="6" t="s">
        <v>19</v>
      </c>
    </row>
    <row r="7" spans="1:2" ht="18" thickBot="1" x14ac:dyDescent="0.3">
      <c r="A7" s="5" t="s">
        <v>20</v>
      </c>
      <c r="B7" s="6" t="s">
        <v>21</v>
      </c>
    </row>
    <row r="8" spans="1:2" ht="18" thickBot="1" x14ac:dyDescent="0.3">
      <c r="A8" s="5" t="s">
        <v>20</v>
      </c>
      <c r="B8" s="6" t="s">
        <v>22</v>
      </c>
    </row>
    <row r="9" spans="1:2" ht="18" thickBot="1" x14ac:dyDescent="0.3">
      <c r="A9" s="5" t="s">
        <v>23</v>
      </c>
      <c r="B9" s="6" t="s">
        <v>24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F381"/>
    </sheetView>
  </sheetViews>
  <sheetFormatPr defaultRowHeight="15" x14ac:dyDescent="0.25"/>
  <cols>
    <col min="5" max="5" width="17.28515625" customWidth="1"/>
    <col min="6" max="6" width="18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Hmo dan Ts</vt:lpstr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axioo</dc:creator>
  <cp:lastModifiedBy>acer</cp:lastModifiedBy>
  <dcterms:created xsi:type="dcterms:W3CDTF">2014-10-21T07:50:20Z</dcterms:created>
  <dcterms:modified xsi:type="dcterms:W3CDTF">2018-04-13T03:36:00Z</dcterms:modified>
</cp:coreProperties>
</file>