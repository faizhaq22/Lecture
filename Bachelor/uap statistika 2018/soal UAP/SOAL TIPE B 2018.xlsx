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545" firstSheet="1" activeTab="2"/>
  </bookViews>
  <sheets>
    <sheet name="DATA BERAT IKAN SELAR" sheetId="1" r:id="rId1"/>
    <sheet name="DATA PARAMETER OSEANOGRAFI" sheetId="2" r:id="rId2"/>
    <sheet name="DATA BERAT IKAN PEPEREK" sheetId="3" r:id="rId3"/>
    <sheet name="HASIL TANGKAP SELAT BALI" sheetId="5" r:id="rId4"/>
    <sheet name="UJI KANDUNGAN LOGAM" sheetId="6" r:id="rId5"/>
    <sheet name="PANJANG DAN BERAT IKAN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8" i="7" l="1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</calcChain>
</file>

<file path=xl/sharedStrings.xml><?xml version="1.0" encoding="utf-8"?>
<sst xmlns="http://schemas.openxmlformats.org/spreadsheetml/2006/main" count="515" uniqueCount="39">
  <si>
    <t>Site</t>
  </si>
  <si>
    <t>W1</t>
  </si>
  <si>
    <t>W2</t>
  </si>
  <si>
    <t>MAYANGAN</t>
  </si>
  <si>
    <t>Tabel 1. Data Parameter Oseanografi</t>
  </si>
  <si>
    <t>Suhu</t>
  </si>
  <si>
    <t>Salinitas</t>
  </si>
  <si>
    <t>Klorofil</t>
  </si>
  <si>
    <t>Lokasi</t>
  </si>
  <si>
    <t>Hasil</t>
  </si>
  <si>
    <t>Tabel 2. Sampling Nutrien</t>
  </si>
  <si>
    <t>titik 1</t>
  </si>
  <si>
    <t>titik 2</t>
  </si>
  <si>
    <t>titik 3</t>
  </si>
  <si>
    <t>titik 4</t>
  </si>
  <si>
    <t>titik 5</t>
  </si>
  <si>
    <t>W IKAN</t>
  </si>
  <si>
    <t>ALAT TANGKAP</t>
  </si>
  <si>
    <t>HASIL TANGKAP</t>
  </si>
  <si>
    <t>PAYANG</t>
  </si>
  <si>
    <t>GILL NET</t>
  </si>
  <si>
    <t>PURSE SEINE</t>
  </si>
  <si>
    <t>CANTRANG</t>
  </si>
  <si>
    <t>brebes</t>
  </si>
  <si>
    <t>pati</t>
  </si>
  <si>
    <t>bantul</t>
  </si>
  <si>
    <t>pacitan</t>
  </si>
  <si>
    <t>A</t>
  </si>
  <si>
    <t>B</t>
  </si>
  <si>
    <t>C</t>
  </si>
  <si>
    <t>D</t>
  </si>
  <si>
    <t>E</t>
  </si>
  <si>
    <t>jenis logam</t>
  </si>
  <si>
    <t>kadar logam</t>
  </si>
  <si>
    <t>lokasi</t>
  </si>
  <si>
    <t>W</t>
  </si>
  <si>
    <t>LN(W)</t>
  </si>
  <si>
    <t>SL</t>
  </si>
  <si>
    <t>LN(SL)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</si>
</sst>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0" fillId="6" borderId="2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4" fontId="3" fillId="0" borderId="0" xfId="1" applyNumberFormat="1" applyFont="1" applyFill="1"/>
    <xf numFmtId="164" fontId="3" fillId="0" borderId="0" xfId="1" applyNumberFormat="1" applyFont="1"/>
    <xf numFmtId="43" fontId="3" fillId="0" borderId="0" xfId="1" applyNumberFormat="1" applyFont="1"/>
    <xf numFmtId="43" fontId="3" fillId="0" borderId="0" xfId="1" applyNumberFormat="1" applyFont="1" applyAlignment="1">
      <alignment horizontal="center"/>
    </xf>
    <xf numFmtId="0" fontId="0" fillId="7" borderId="0" xfId="0" applyFill="1"/>
    <xf numFmtId="0" fontId="2" fillId="0" borderId="0" xfId="0" applyFont="1" applyAlignment="1">
      <alignment horizontal="left" vertical="center" wrapText="1"/>
    </xf>
    <xf numFmtId="0" fontId="0" fillId="6" borderId="2" xfId="0" applyFill="1" applyBorder="1" applyAlignment="1">
      <alignment horizontal="center" vertic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73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8.57</v>
      </c>
      <c r="C2" s="4">
        <v>5.8</v>
      </c>
    </row>
    <row r="3" spans="1:3" x14ac:dyDescent="0.25">
      <c r="A3" s="3" t="s">
        <v>3</v>
      </c>
      <c r="B3" s="4">
        <v>7.87</v>
      </c>
      <c r="C3" s="4">
        <v>3</v>
      </c>
    </row>
    <row r="4" spans="1:3" x14ac:dyDescent="0.25">
      <c r="A4" s="3" t="s">
        <v>3</v>
      </c>
      <c r="B4" s="4">
        <v>9.44</v>
      </c>
      <c r="C4" s="4">
        <v>24</v>
      </c>
    </row>
    <row r="5" spans="1:3" x14ac:dyDescent="0.25">
      <c r="A5" s="3" t="s">
        <v>3</v>
      </c>
      <c r="B5" s="4">
        <v>8.66</v>
      </c>
      <c r="C5" s="4">
        <v>19.55</v>
      </c>
    </row>
    <row r="6" spans="1:3" x14ac:dyDescent="0.25">
      <c r="A6" s="3" t="s">
        <v>3</v>
      </c>
      <c r="B6" s="4">
        <v>7.74</v>
      </c>
      <c r="C6" s="4">
        <v>10.199999999999999</v>
      </c>
    </row>
    <row r="7" spans="1:3" x14ac:dyDescent="0.25">
      <c r="A7" s="3" t="s">
        <v>3</v>
      </c>
      <c r="B7" s="4">
        <v>9.08</v>
      </c>
      <c r="C7" s="4">
        <v>14.3</v>
      </c>
    </row>
    <row r="8" spans="1:3" x14ac:dyDescent="0.25">
      <c r="A8" s="3" t="s">
        <v>3</v>
      </c>
      <c r="B8" s="4">
        <v>7.28</v>
      </c>
      <c r="C8" s="4">
        <v>13.02</v>
      </c>
    </row>
    <row r="9" spans="1:3" x14ac:dyDescent="0.25">
      <c r="A9" s="3" t="s">
        <v>3</v>
      </c>
      <c r="B9" s="4">
        <v>9.69</v>
      </c>
      <c r="C9" s="4">
        <v>15.94</v>
      </c>
    </row>
    <row r="10" spans="1:3" x14ac:dyDescent="0.25">
      <c r="A10" s="3" t="s">
        <v>3</v>
      </c>
      <c r="B10" s="4">
        <v>9</v>
      </c>
      <c r="C10" s="4">
        <v>18.510000000000002</v>
      </c>
    </row>
    <row r="11" spans="1:3" x14ac:dyDescent="0.25">
      <c r="A11" s="3" t="s">
        <v>3</v>
      </c>
      <c r="B11" s="4">
        <v>4.8499999999999996</v>
      </c>
      <c r="C11" s="4">
        <v>12.36</v>
      </c>
    </row>
    <row r="12" spans="1:3" x14ac:dyDescent="0.25">
      <c r="A12" s="3" t="s">
        <v>3</v>
      </c>
      <c r="B12" s="4">
        <v>7.34</v>
      </c>
      <c r="C12" s="4">
        <v>10.94</v>
      </c>
    </row>
    <row r="13" spans="1:3" x14ac:dyDescent="0.25">
      <c r="A13" s="3" t="s">
        <v>3</v>
      </c>
      <c r="B13" s="4">
        <v>6.31</v>
      </c>
      <c r="C13" s="4">
        <v>11.43</v>
      </c>
    </row>
    <row r="14" spans="1:3" x14ac:dyDescent="0.25">
      <c r="A14" s="3" t="s">
        <v>3</v>
      </c>
      <c r="B14" s="4">
        <v>6.64</v>
      </c>
      <c r="C14" s="4">
        <v>8.58</v>
      </c>
    </row>
    <row r="15" spans="1:3" x14ac:dyDescent="0.25">
      <c r="A15" s="3" t="s">
        <v>3</v>
      </c>
      <c r="B15" s="4">
        <v>8.99</v>
      </c>
      <c r="C15" s="4">
        <v>10.93</v>
      </c>
    </row>
    <row r="16" spans="1:3" x14ac:dyDescent="0.25">
      <c r="A16" s="3" t="s">
        <v>3</v>
      </c>
      <c r="B16" s="4">
        <v>8.41</v>
      </c>
      <c r="C16" s="4">
        <v>9.27</v>
      </c>
    </row>
    <row r="17" spans="1:3" x14ac:dyDescent="0.25">
      <c r="A17" s="3" t="s">
        <v>3</v>
      </c>
      <c r="B17" s="4">
        <v>5.96</v>
      </c>
      <c r="C17" s="4">
        <v>8.4</v>
      </c>
    </row>
    <row r="18" spans="1:3" x14ac:dyDescent="0.25">
      <c r="A18" s="3" t="s">
        <v>3</v>
      </c>
      <c r="B18" s="4">
        <v>6.33</v>
      </c>
      <c r="C18" s="4">
        <v>9.85</v>
      </c>
    </row>
    <row r="19" spans="1:3" x14ac:dyDescent="0.25">
      <c r="A19" s="3" t="s">
        <v>3</v>
      </c>
      <c r="B19" s="4">
        <v>18.059999999999999</v>
      </c>
      <c r="C19" s="4">
        <v>7.03</v>
      </c>
    </row>
    <row r="20" spans="1:3" x14ac:dyDescent="0.25">
      <c r="A20" s="3" t="s">
        <v>3</v>
      </c>
      <c r="B20" s="4">
        <v>18.75</v>
      </c>
      <c r="C20" s="4">
        <v>5.92</v>
      </c>
    </row>
    <row r="21" spans="1:3" x14ac:dyDescent="0.25">
      <c r="A21" s="3" t="s">
        <v>3</v>
      </c>
      <c r="B21" s="4">
        <v>18.46</v>
      </c>
      <c r="C21" s="4">
        <v>5.41</v>
      </c>
    </row>
    <row r="22" spans="1:3" x14ac:dyDescent="0.25">
      <c r="A22" s="3" t="s">
        <v>3</v>
      </c>
      <c r="B22" s="4">
        <v>22.14</v>
      </c>
      <c r="C22" s="4">
        <v>6.02</v>
      </c>
    </row>
    <row r="23" spans="1:3" x14ac:dyDescent="0.25">
      <c r="A23" s="3" t="s">
        <v>3</v>
      </c>
      <c r="B23" s="4">
        <v>25.63</v>
      </c>
      <c r="C23" s="4">
        <v>5.05</v>
      </c>
    </row>
    <row r="24" spans="1:3" x14ac:dyDescent="0.25">
      <c r="A24" s="3" t="s">
        <v>3</v>
      </c>
      <c r="B24" s="4">
        <v>20.25</v>
      </c>
      <c r="C24" s="4">
        <v>5.71</v>
      </c>
    </row>
    <row r="25" spans="1:3" x14ac:dyDescent="0.25">
      <c r="A25" s="3" t="s">
        <v>3</v>
      </c>
      <c r="B25" s="4">
        <v>27.9</v>
      </c>
      <c r="C25" s="4">
        <v>5.33</v>
      </c>
    </row>
    <row r="26" spans="1:3" x14ac:dyDescent="0.25">
      <c r="A26" s="3" t="s">
        <v>3</v>
      </c>
      <c r="B26" s="4">
        <v>18.39</v>
      </c>
      <c r="C26" s="4">
        <v>5.5</v>
      </c>
    </row>
    <row r="27" spans="1:3" x14ac:dyDescent="0.25">
      <c r="A27" s="3" t="s">
        <v>3</v>
      </c>
      <c r="B27" s="4">
        <v>13.48</v>
      </c>
      <c r="C27" s="4">
        <v>5.55</v>
      </c>
    </row>
    <row r="28" spans="1:3" x14ac:dyDescent="0.25">
      <c r="A28" s="3" t="s">
        <v>3</v>
      </c>
      <c r="B28" s="4">
        <v>19.57</v>
      </c>
      <c r="C28" s="4">
        <v>5.49</v>
      </c>
    </row>
    <row r="29" spans="1:3" x14ac:dyDescent="0.25">
      <c r="A29" s="3" t="s">
        <v>3</v>
      </c>
      <c r="B29" s="4">
        <v>17.809999999999999</v>
      </c>
      <c r="C29" s="4">
        <v>4.58</v>
      </c>
    </row>
    <row r="30" spans="1:3" x14ac:dyDescent="0.25">
      <c r="A30" s="3" t="s">
        <v>3</v>
      </c>
      <c r="B30" s="4">
        <v>19</v>
      </c>
      <c r="C30" s="4">
        <v>4.8</v>
      </c>
    </row>
    <row r="31" spans="1:3" x14ac:dyDescent="0.25">
      <c r="A31" s="3" t="s">
        <v>3</v>
      </c>
      <c r="B31" s="4">
        <v>14.38</v>
      </c>
      <c r="C31" s="4">
        <v>4.4000000000000004</v>
      </c>
    </row>
    <row r="32" spans="1:3" x14ac:dyDescent="0.25">
      <c r="A32" s="3" t="s">
        <v>3</v>
      </c>
      <c r="B32" s="4">
        <v>12.23</v>
      </c>
      <c r="C32" s="4">
        <v>5.19</v>
      </c>
    </row>
    <row r="33" spans="1:3" x14ac:dyDescent="0.25">
      <c r="A33" s="3" t="s">
        <v>3</v>
      </c>
      <c r="B33" s="4">
        <v>12.76</v>
      </c>
      <c r="C33" s="4">
        <v>4.6399999999999997</v>
      </c>
    </row>
    <row r="34" spans="1:3" x14ac:dyDescent="0.25">
      <c r="A34" s="3" t="s">
        <v>3</v>
      </c>
      <c r="B34" s="4">
        <v>12.42</v>
      </c>
      <c r="C34" s="4">
        <v>4.6900000000000004</v>
      </c>
    </row>
    <row r="35" spans="1:3" x14ac:dyDescent="0.25">
      <c r="A35" s="3" t="s">
        <v>3</v>
      </c>
      <c r="B35" s="4">
        <v>14.72</v>
      </c>
      <c r="C35" s="4">
        <v>4.7</v>
      </c>
    </row>
    <row r="36" spans="1:3" x14ac:dyDescent="0.25">
      <c r="A36" s="3" t="s">
        <v>3</v>
      </c>
      <c r="B36" s="4">
        <v>12.24</v>
      </c>
      <c r="C36" s="4">
        <v>4.13</v>
      </c>
    </row>
    <row r="37" spans="1:3" x14ac:dyDescent="0.25">
      <c r="A37" s="3" t="s">
        <v>3</v>
      </c>
      <c r="B37" s="4">
        <v>11.6</v>
      </c>
      <c r="C37" s="4">
        <v>3.9</v>
      </c>
    </row>
    <row r="38" spans="1:3" x14ac:dyDescent="0.25">
      <c r="A38" s="3" t="s">
        <v>3</v>
      </c>
      <c r="B38" s="4">
        <v>10.23</v>
      </c>
      <c r="C38" s="4">
        <v>4.17</v>
      </c>
    </row>
    <row r="39" spans="1:3" x14ac:dyDescent="0.25">
      <c r="A39" s="3" t="s">
        <v>3</v>
      </c>
      <c r="B39" s="4">
        <v>15.28</v>
      </c>
      <c r="C39" s="4">
        <v>4.57</v>
      </c>
    </row>
    <row r="40" spans="1:3" x14ac:dyDescent="0.25">
      <c r="A40" s="3" t="s">
        <v>3</v>
      </c>
      <c r="B40" s="4">
        <v>11.67</v>
      </c>
      <c r="C40" s="4">
        <v>4.16</v>
      </c>
    </row>
    <row r="41" spans="1:3" x14ac:dyDescent="0.25">
      <c r="A41" s="3" t="s">
        <v>3</v>
      </c>
      <c r="B41" s="4">
        <v>9.67</v>
      </c>
      <c r="C41" s="4">
        <v>3.36</v>
      </c>
    </row>
    <row r="42" spans="1:3" x14ac:dyDescent="0.25">
      <c r="A42" s="3" t="s">
        <v>3</v>
      </c>
      <c r="B42" s="4">
        <v>9.3800000000000008</v>
      </c>
      <c r="C42" s="4">
        <v>4.82</v>
      </c>
    </row>
    <row r="43" spans="1:3" x14ac:dyDescent="0.25">
      <c r="A43" s="3" t="s">
        <v>3</v>
      </c>
      <c r="B43" s="4">
        <v>11.15</v>
      </c>
      <c r="C43" s="4">
        <v>24.67</v>
      </c>
    </row>
    <row r="44" spans="1:3" x14ac:dyDescent="0.25">
      <c r="A44" s="3" t="s">
        <v>3</v>
      </c>
      <c r="B44" s="4">
        <v>10.34</v>
      </c>
      <c r="C44" s="4">
        <v>24.73</v>
      </c>
    </row>
    <row r="45" spans="1:3" x14ac:dyDescent="0.25">
      <c r="A45" s="3" t="s">
        <v>3</v>
      </c>
      <c r="B45" s="4">
        <v>10.42</v>
      </c>
      <c r="C45" s="4">
        <v>25.04</v>
      </c>
    </row>
    <row r="46" spans="1:3" x14ac:dyDescent="0.25">
      <c r="A46" s="3" t="s">
        <v>3</v>
      </c>
      <c r="B46" s="4">
        <v>7.83</v>
      </c>
      <c r="C46" s="4">
        <v>21.11</v>
      </c>
    </row>
    <row r="47" spans="1:3" x14ac:dyDescent="0.25">
      <c r="A47" s="3" t="s">
        <v>3</v>
      </c>
      <c r="B47" s="4">
        <v>6.81</v>
      </c>
      <c r="C47" s="4">
        <v>17.68</v>
      </c>
    </row>
    <row r="48" spans="1:3" x14ac:dyDescent="0.25">
      <c r="A48" s="3" t="s">
        <v>3</v>
      </c>
      <c r="B48" s="4">
        <v>7.04</v>
      </c>
      <c r="C48" s="4">
        <v>17.14</v>
      </c>
    </row>
    <row r="49" spans="1:3" x14ac:dyDescent="0.25">
      <c r="A49" s="3" t="s">
        <v>3</v>
      </c>
      <c r="B49" s="4">
        <v>6.35</v>
      </c>
      <c r="C49" s="4">
        <v>16.38</v>
      </c>
    </row>
    <row r="50" spans="1:3" x14ac:dyDescent="0.25">
      <c r="A50" s="3" t="s">
        <v>3</v>
      </c>
      <c r="B50" s="4">
        <v>7.42</v>
      </c>
      <c r="C50" s="4">
        <v>16.89</v>
      </c>
    </row>
    <row r="51" spans="1:3" x14ac:dyDescent="0.25">
      <c r="A51" s="3" t="s">
        <v>3</v>
      </c>
      <c r="B51" s="4">
        <v>7.09</v>
      </c>
      <c r="C51" s="4">
        <v>17.21</v>
      </c>
    </row>
    <row r="52" spans="1:3" x14ac:dyDescent="0.25">
      <c r="A52" s="3" t="s">
        <v>3</v>
      </c>
      <c r="B52" s="4">
        <v>5.74</v>
      </c>
      <c r="C52" s="4">
        <v>11.86</v>
      </c>
    </row>
    <row r="53" spans="1:3" x14ac:dyDescent="0.25">
      <c r="A53" s="3" t="s">
        <v>3</v>
      </c>
      <c r="B53" s="4">
        <v>5.76</v>
      </c>
      <c r="C53" s="4">
        <v>12.78</v>
      </c>
    </row>
    <row r="54" spans="1:3" x14ac:dyDescent="0.25">
      <c r="A54" s="3" t="s">
        <v>3</v>
      </c>
      <c r="B54" s="4">
        <v>5.85</v>
      </c>
      <c r="C54" s="4">
        <v>13.27</v>
      </c>
    </row>
    <row r="55" spans="1:3" x14ac:dyDescent="0.25">
      <c r="A55" s="3" t="s">
        <v>3</v>
      </c>
      <c r="B55" s="4">
        <v>4.57</v>
      </c>
      <c r="C55" s="4">
        <v>8.84</v>
      </c>
    </row>
    <row r="56" spans="1:3" x14ac:dyDescent="0.25">
      <c r="A56" s="3" t="s">
        <v>3</v>
      </c>
      <c r="B56" s="4">
        <v>14.07</v>
      </c>
      <c r="C56" s="4">
        <v>6.26</v>
      </c>
    </row>
    <row r="57" spans="1:3" x14ac:dyDescent="0.25">
      <c r="A57" s="3" t="s">
        <v>3</v>
      </c>
      <c r="B57" s="4">
        <v>15.94</v>
      </c>
      <c r="C57" s="4">
        <v>6.27</v>
      </c>
    </row>
    <row r="58" spans="1:3" x14ac:dyDescent="0.25">
      <c r="A58" s="3" t="s">
        <v>3</v>
      </c>
      <c r="B58" s="4">
        <v>12.17</v>
      </c>
      <c r="C58" s="4">
        <v>7.66</v>
      </c>
    </row>
    <row r="59" spans="1:3" x14ac:dyDescent="0.25">
      <c r="A59" s="3" t="s">
        <v>3</v>
      </c>
      <c r="B59" s="4">
        <v>11.12</v>
      </c>
      <c r="C59" s="4">
        <v>6.44</v>
      </c>
    </row>
    <row r="60" spans="1:3" x14ac:dyDescent="0.25">
      <c r="A60" s="3" t="s">
        <v>3</v>
      </c>
      <c r="B60" s="4">
        <v>11.8</v>
      </c>
      <c r="C60" s="4">
        <v>8.07</v>
      </c>
    </row>
    <row r="61" spans="1:3" x14ac:dyDescent="0.25">
      <c r="A61" s="3" t="s">
        <v>3</v>
      </c>
      <c r="B61" s="4">
        <v>8.84</v>
      </c>
      <c r="C61" s="4">
        <v>6.2</v>
      </c>
    </row>
    <row r="62" spans="1:3" x14ac:dyDescent="0.25">
      <c r="A62" s="3" t="s">
        <v>3</v>
      </c>
      <c r="B62" s="4">
        <v>11.06</v>
      </c>
      <c r="C62" s="4">
        <v>6.3</v>
      </c>
    </row>
    <row r="63" spans="1:3" x14ac:dyDescent="0.25">
      <c r="A63" s="3" t="s">
        <v>3</v>
      </c>
      <c r="B63" s="4">
        <v>11.26</v>
      </c>
      <c r="C63" s="4">
        <v>7.04</v>
      </c>
    </row>
    <row r="64" spans="1:3" x14ac:dyDescent="0.25">
      <c r="A64" s="3" t="s">
        <v>3</v>
      </c>
      <c r="B64" s="4">
        <v>10.02</v>
      </c>
      <c r="C64" s="4">
        <v>6.04</v>
      </c>
    </row>
    <row r="65" spans="1:3" x14ac:dyDescent="0.25">
      <c r="A65" s="3" t="s">
        <v>3</v>
      </c>
      <c r="B65" s="4">
        <v>10.14</v>
      </c>
      <c r="C65" s="4">
        <v>5.26</v>
      </c>
    </row>
    <row r="66" spans="1:3" x14ac:dyDescent="0.25">
      <c r="A66" s="3" t="s">
        <v>3</v>
      </c>
      <c r="B66" s="4">
        <v>9.7200000000000006</v>
      </c>
      <c r="C66" s="4">
        <v>4.8</v>
      </c>
    </row>
    <row r="67" spans="1:3" x14ac:dyDescent="0.25">
      <c r="A67" s="3" t="s">
        <v>3</v>
      </c>
      <c r="B67" s="4">
        <v>11.11</v>
      </c>
      <c r="C67" s="4">
        <v>2.8</v>
      </c>
    </row>
    <row r="68" spans="1:3" x14ac:dyDescent="0.25">
      <c r="A68" s="3" t="s">
        <v>3</v>
      </c>
      <c r="B68" s="4">
        <v>9.0500000000000007</v>
      </c>
      <c r="C68" s="4">
        <v>9.51</v>
      </c>
    </row>
    <row r="69" spans="1:3" x14ac:dyDescent="0.25">
      <c r="A69" s="3" t="s">
        <v>3</v>
      </c>
      <c r="B69" s="4">
        <v>9.6199999999999992</v>
      </c>
      <c r="C69" s="4">
        <v>6.83</v>
      </c>
    </row>
    <row r="70" spans="1:3" x14ac:dyDescent="0.25">
      <c r="A70" s="3" t="s">
        <v>3</v>
      </c>
      <c r="B70" s="4">
        <v>9.3699999999999992</v>
      </c>
      <c r="C70" s="4">
        <v>8.4499999999999993</v>
      </c>
    </row>
    <row r="71" spans="1:3" x14ac:dyDescent="0.25">
      <c r="A71" s="3" t="s">
        <v>3</v>
      </c>
      <c r="B71" s="4">
        <v>8.6999999999999993</v>
      </c>
      <c r="C71" s="4">
        <v>7.85</v>
      </c>
    </row>
    <row r="72" spans="1:3" x14ac:dyDescent="0.25">
      <c r="A72" s="3" t="s">
        <v>3</v>
      </c>
      <c r="B72" s="4">
        <v>8.91</v>
      </c>
      <c r="C72" s="4">
        <v>6.28</v>
      </c>
    </row>
    <row r="73" spans="1:3" x14ac:dyDescent="0.25">
      <c r="A73" s="3" t="s">
        <v>3</v>
      </c>
      <c r="B73" s="4">
        <v>10.69</v>
      </c>
      <c r="C73" s="4">
        <v>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L376"/>
  <sheetViews>
    <sheetView topLeftCell="A4" workbookViewId="0">
      <selection activeCell="I4" sqref="I4"/>
    </sheetView>
  </sheetViews>
  <sheetFormatPr defaultRowHeight="15" x14ac:dyDescent="0.25"/>
  <cols>
    <col min="12" max="12" width="12.85546875" bestFit="1" customWidth="1"/>
  </cols>
  <sheetData>
    <row r="1" spans="1:12" x14ac:dyDescent="0.25">
      <c r="A1" s="23" t="s">
        <v>4</v>
      </c>
      <c r="B1" s="23"/>
      <c r="C1" s="23"/>
      <c r="D1" s="23"/>
      <c r="I1" s="23" t="s">
        <v>10</v>
      </c>
      <c r="J1" s="23"/>
      <c r="K1" s="23"/>
      <c r="L1" s="23"/>
    </row>
    <row r="2" spans="1:12" x14ac:dyDescent="0.25">
      <c r="A2" s="23"/>
      <c r="B2" s="23"/>
      <c r="C2" s="23"/>
      <c r="D2" s="23"/>
      <c r="I2" s="23"/>
      <c r="J2" s="23"/>
      <c r="K2" s="23"/>
      <c r="L2" s="23"/>
    </row>
    <row r="3" spans="1:12" x14ac:dyDescent="0.25">
      <c r="A3" s="23"/>
      <c r="B3" s="23"/>
      <c r="C3" s="23"/>
      <c r="D3" s="23"/>
      <c r="I3" s="23"/>
      <c r="J3" s="23"/>
      <c r="K3" s="23"/>
      <c r="L3" s="23"/>
    </row>
    <row r="4" spans="1:12" ht="15.75" thickBot="1" x14ac:dyDescent="0.3">
      <c r="A4" s="5" t="s">
        <v>5</v>
      </c>
      <c r="B4" s="5" t="s">
        <v>6</v>
      </c>
      <c r="C4" s="5" t="s">
        <v>7</v>
      </c>
      <c r="I4" s="5" t="s">
        <v>8</v>
      </c>
      <c r="J4" s="5" t="s">
        <v>9</v>
      </c>
    </row>
    <row r="5" spans="1:12" x14ac:dyDescent="0.25">
      <c r="A5" s="4">
        <v>28.844691999999998</v>
      </c>
      <c r="B5" s="4">
        <v>33.968139999999998</v>
      </c>
      <c r="C5" s="4">
        <v>0.11362999999999999</v>
      </c>
      <c r="I5" s="3" t="s">
        <v>11</v>
      </c>
      <c r="J5" s="6">
        <v>21</v>
      </c>
    </row>
    <row r="6" spans="1:12" x14ac:dyDescent="0.25">
      <c r="A6" s="4">
        <v>29.057694999999999</v>
      </c>
      <c r="B6" s="4">
        <v>34.097569999999997</v>
      </c>
      <c r="C6" s="4">
        <v>0.119587</v>
      </c>
      <c r="I6" s="3" t="s">
        <v>11</v>
      </c>
      <c r="J6" s="6">
        <v>17</v>
      </c>
    </row>
    <row r="7" spans="1:12" x14ac:dyDescent="0.25">
      <c r="A7" s="4">
        <v>29.132282</v>
      </c>
      <c r="B7" s="4">
        <v>34.053919999999998</v>
      </c>
      <c r="C7" s="4">
        <v>0.128661</v>
      </c>
      <c r="I7" s="3" t="s">
        <v>11</v>
      </c>
      <c r="J7" s="6">
        <v>18</v>
      </c>
    </row>
    <row r="8" spans="1:12" x14ac:dyDescent="0.25">
      <c r="A8" s="4">
        <v>29.064150000000001</v>
      </c>
      <c r="B8" s="4">
        <v>34.046059999999997</v>
      </c>
      <c r="C8" s="4">
        <v>0.130192</v>
      </c>
      <c r="I8" s="3" t="s">
        <v>11</v>
      </c>
      <c r="J8" s="6">
        <v>25</v>
      </c>
    </row>
    <row r="9" spans="1:12" x14ac:dyDescent="0.25">
      <c r="A9" s="4">
        <v>29.207585999999999</v>
      </c>
      <c r="B9" s="4">
        <v>34.222410000000004</v>
      </c>
      <c r="C9" s="4">
        <v>0.12181400000000001</v>
      </c>
      <c r="I9" s="3" t="s">
        <v>11</v>
      </c>
      <c r="J9" s="6">
        <v>30</v>
      </c>
    </row>
    <row r="10" spans="1:12" x14ac:dyDescent="0.25">
      <c r="A10" s="4">
        <v>29.262093</v>
      </c>
      <c r="B10" s="4">
        <v>34.385390000000001</v>
      </c>
      <c r="C10" s="4">
        <v>0.11445900000000001</v>
      </c>
      <c r="I10" s="3" t="s">
        <v>11</v>
      </c>
      <c r="J10" s="6">
        <v>38</v>
      </c>
    </row>
    <row r="11" spans="1:12" x14ac:dyDescent="0.25">
      <c r="A11" s="4">
        <v>29.181768000000002</v>
      </c>
      <c r="B11" s="4">
        <v>34.128399999999999</v>
      </c>
      <c r="C11" s="4">
        <v>0.114992</v>
      </c>
      <c r="I11" s="3" t="s">
        <v>11</v>
      </c>
      <c r="J11" s="6">
        <v>26</v>
      </c>
    </row>
    <row r="12" spans="1:12" x14ac:dyDescent="0.25">
      <c r="A12" s="4">
        <v>28.837519</v>
      </c>
      <c r="B12" s="4">
        <v>34.018389999999997</v>
      </c>
      <c r="C12" s="4">
        <v>0.111455</v>
      </c>
      <c r="I12" s="3" t="s">
        <v>11</v>
      </c>
      <c r="J12" s="6">
        <v>27</v>
      </c>
    </row>
    <row r="13" spans="1:12" x14ac:dyDescent="0.25">
      <c r="A13" s="4">
        <v>29.529602000000001</v>
      </c>
      <c r="B13" s="4">
        <v>34.150570000000002</v>
      </c>
      <c r="C13" s="4">
        <v>9.6768000000000007E-2</v>
      </c>
      <c r="I13" s="3" t="s">
        <v>11</v>
      </c>
      <c r="J13" s="6">
        <v>21</v>
      </c>
    </row>
    <row r="14" spans="1:12" x14ac:dyDescent="0.25">
      <c r="A14" s="4">
        <v>29.626422999999999</v>
      </c>
      <c r="B14" s="4">
        <v>33.972029999999997</v>
      </c>
      <c r="C14" s="4">
        <v>9.4432000000000002E-2</v>
      </c>
      <c r="I14" s="3" t="s">
        <v>11</v>
      </c>
      <c r="J14" s="6">
        <v>15</v>
      </c>
    </row>
    <row r="15" spans="1:12" x14ac:dyDescent="0.25">
      <c r="A15" s="4">
        <v>30.046693999999999</v>
      </c>
      <c r="B15" s="4">
        <v>34.000570000000003</v>
      </c>
      <c r="C15" s="4">
        <v>8.0401E-2</v>
      </c>
      <c r="I15" s="3" t="s">
        <v>11</v>
      </c>
      <c r="J15" s="6">
        <v>33</v>
      </c>
    </row>
    <row r="16" spans="1:12" x14ac:dyDescent="0.25">
      <c r="A16" s="4">
        <v>30.154986999999998</v>
      </c>
      <c r="B16" s="4">
        <v>34.047319999999999</v>
      </c>
      <c r="C16" s="4">
        <v>7.4767E-2</v>
      </c>
      <c r="I16" s="3" t="s">
        <v>11</v>
      </c>
      <c r="J16" s="6">
        <v>16</v>
      </c>
    </row>
    <row r="17" spans="1:10" x14ac:dyDescent="0.25">
      <c r="A17" s="4">
        <v>30.033068</v>
      </c>
      <c r="B17" s="4">
        <v>34.092770000000002</v>
      </c>
      <c r="C17" s="4">
        <v>8.4723000000000007E-2</v>
      </c>
      <c r="I17" s="3" t="s">
        <v>11</v>
      </c>
      <c r="J17" s="6">
        <v>21</v>
      </c>
    </row>
    <row r="18" spans="1:10" x14ac:dyDescent="0.25">
      <c r="A18" s="4">
        <v>29.864529000000001</v>
      </c>
      <c r="B18" s="4">
        <v>34.030160000000002</v>
      </c>
      <c r="C18" s="4">
        <v>9.1537999999999994E-2</v>
      </c>
      <c r="I18" s="3" t="s">
        <v>11</v>
      </c>
      <c r="J18" s="6">
        <v>32</v>
      </c>
    </row>
    <row r="19" spans="1:10" x14ac:dyDescent="0.25">
      <c r="A19" s="4">
        <v>29.404095000000002</v>
      </c>
      <c r="B19" s="4">
        <v>34.080030000000001</v>
      </c>
      <c r="C19" s="4">
        <v>9.4103000000000006E-2</v>
      </c>
      <c r="I19" s="3" t="s">
        <v>11</v>
      </c>
      <c r="J19" s="6">
        <v>24</v>
      </c>
    </row>
    <row r="20" spans="1:10" x14ac:dyDescent="0.25">
      <c r="A20" s="4">
        <v>29.30369</v>
      </c>
      <c r="B20" s="4">
        <v>34.057720000000003</v>
      </c>
      <c r="C20" s="4">
        <v>9.1006000000000004E-2</v>
      </c>
      <c r="I20" s="3" t="s">
        <v>11</v>
      </c>
      <c r="J20" s="6">
        <v>32</v>
      </c>
    </row>
    <row r="21" spans="1:10" x14ac:dyDescent="0.25">
      <c r="A21" s="4">
        <v>29.511672999999998</v>
      </c>
      <c r="B21" s="4">
        <v>34.092120000000001</v>
      </c>
      <c r="C21" s="4">
        <v>8.2567000000000002E-2</v>
      </c>
      <c r="I21" s="3" t="s">
        <v>11</v>
      </c>
      <c r="J21" s="6">
        <v>17</v>
      </c>
    </row>
    <row r="22" spans="1:10" x14ac:dyDescent="0.25">
      <c r="A22" s="4">
        <v>30.081835000000002</v>
      </c>
      <c r="B22" s="4">
        <v>34.09543</v>
      </c>
      <c r="C22" s="4">
        <v>8.9271000000000003E-2</v>
      </c>
      <c r="I22" s="3" t="s">
        <v>11</v>
      </c>
      <c r="J22" s="6">
        <v>33</v>
      </c>
    </row>
    <row r="23" spans="1:10" x14ac:dyDescent="0.25">
      <c r="A23" s="4">
        <v>30.081835000000002</v>
      </c>
      <c r="B23" s="4">
        <v>34.184869999999997</v>
      </c>
      <c r="C23" s="4">
        <v>8.9271000000000003E-2</v>
      </c>
      <c r="I23" s="3" t="s">
        <v>11</v>
      </c>
      <c r="J23" s="6">
        <v>18</v>
      </c>
    </row>
    <row r="24" spans="1:10" x14ac:dyDescent="0.25">
      <c r="A24" s="4">
        <v>29.91545</v>
      </c>
      <c r="B24" s="4">
        <v>34.016970000000001</v>
      </c>
      <c r="C24" s="4">
        <v>8.8480000000000003E-2</v>
      </c>
      <c r="I24" s="3" t="s">
        <v>11</v>
      </c>
      <c r="J24" s="6">
        <v>24</v>
      </c>
    </row>
    <row r="25" spans="1:10" x14ac:dyDescent="0.25">
      <c r="A25" s="4">
        <v>30.036653999999999</v>
      </c>
      <c r="B25" s="4">
        <v>34.028919999999999</v>
      </c>
      <c r="C25" s="4">
        <v>8.566E-2</v>
      </c>
      <c r="I25" s="3" t="s">
        <v>11</v>
      </c>
      <c r="J25" s="6">
        <v>25</v>
      </c>
    </row>
    <row r="26" spans="1:10" x14ac:dyDescent="0.25">
      <c r="A26" s="4">
        <v>30.286234</v>
      </c>
      <c r="B26" s="4">
        <v>34.188079999999999</v>
      </c>
      <c r="C26" s="4">
        <v>8.5995000000000002E-2</v>
      </c>
      <c r="I26" s="3" t="s">
        <v>11</v>
      </c>
      <c r="J26" s="6">
        <v>27</v>
      </c>
    </row>
    <row r="27" spans="1:10" x14ac:dyDescent="0.25">
      <c r="A27" s="4">
        <v>30.399547999999999</v>
      </c>
      <c r="B27" s="4">
        <v>34.06926</v>
      </c>
      <c r="C27" s="4">
        <v>9.2795000000000002E-2</v>
      </c>
      <c r="I27" s="3" t="s">
        <v>11</v>
      </c>
      <c r="J27" s="6">
        <v>18</v>
      </c>
    </row>
    <row r="28" spans="1:10" x14ac:dyDescent="0.25">
      <c r="A28" s="4">
        <v>30.411740999999999</v>
      </c>
      <c r="B28" s="4">
        <v>34.062489999999997</v>
      </c>
      <c r="C28" s="4">
        <v>0.100115</v>
      </c>
      <c r="I28" s="3" t="s">
        <v>11</v>
      </c>
      <c r="J28" s="6">
        <v>21</v>
      </c>
    </row>
    <row r="29" spans="1:10" x14ac:dyDescent="0.25">
      <c r="A29" s="4">
        <v>29.744040999999999</v>
      </c>
      <c r="B29" s="4">
        <v>34.127589999999998</v>
      </c>
      <c r="C29" s="4">
        <v>9.2180999999999999E-2</v>
      </c>
      <c r="I29" s="3" t="s">
        <v>11</v>
      </c>
      <c r="J29" s="6">
        <v>23</v>
      </c>
    </row>
    <row r="30" spans="1:10" x14ac:dyDescent="0.25">
      <c r="A30" s="4">
        <v>30.451902</v>
      </c>
      <c r="B30" s="4">
        <v>34.187469999999998</v>
      </c>
      <c r="C30" s="4">
        <v>8.7492E-2</v>
      </c>
      <c r="I30" s="3" t="s">
        <v>11</v>
      </c>
      <c r="J30" s="6">
        <v>36</v>
      </c>
    </row>
    <row r="31" spans="1:10" x14ac:dyDescent="0.25">
      <c r="A31" s="4">
        <v>30.384487</v>
      </c>
      <c r="B31" s="4">
        <v>34.125680000000003</v>
      </c>
      <c r="C31" s="4">
        <v>8.3950999999999998E-2</v>
      </c>
      <c r="I31" s="3" t="s">
        <v>11</v>
      </c>
      <c r="J31" s="6">
        <v>28</v>
      </c>
    </row>
    <row r="32" spans="1:10" x14ac:dyDescent="0.25">
      <c r="A32" s="4">
        <v>30.312052000000001</v>
      </c>
      <c r="B32" s="4">
        <v>34.103149999999999</v>
      </c>
      <c r="C32" s="4">
        <v>8.2924999999999999E-2</v>
      </c>
      <c r="I32" s="3" t="s">
        <v>11</v>
      </c>
      <c r="J32" s="6">
        <v>30</v>
      </c>
    </row>
    <row r="33" spans="1:10" x14ac:dyDescent="0.25">
      <c r="A33" s="4">
        <v>30.287668</v>
      </c>
      <c r="B33" s="4">
        <v>34.311660000000003</v>
      </c>
      <c r="C33" s="4">
        <v>7.9708000000000001E-2</v>
      </c>
      <c r="I33" s="3" t="s">
        <v>11</v>
      </c>
      <c r="J33" s="6">
        <v>26</v>
      </c>
    </row>
    <row r="34" spans="1:10" x14ac:dyDescent="0.25">
      <c r="A34" s="4">
        <v>30.269020000000001</v>
      </c>
      <c r="B34" s="4">
        <v>34.13852</v>
      </c>
      <c r="C34" s="4">
        <v>8.3586999999999995E-2</v>
      </c>
      <c r="I34" s="3" t="s">
        <v>11</v>
      </c>
      <c r="J34" s="6">
        <v>18</v>
      </c>
    </row>
    <row r="35" spans="1:10" x14ac:dyDescent="0.25">
      <c r="A35" s="4">
        <v>30.109805999999999</v>
      </c>
      <c r="B35" s="4">
        <v>34.048459999999999</v>
      </c>
      <c r="C35" s="4">
        <v>8.7058999999999997E-2</v>
      </c>
      <c r="I35" s="3" t="s">
        <v>11</v>
      </c>
      <c r="J35" s="6">
        <v>16</v>
      </c>
    </row>
    <row r="36" spans="1:10" x14ac:dyDescent="0.25">
      <c r="A36" s="4">
        <v>30.182959</v>
      </c>
      <c r="B36" s="4">
        <v>34.145069999999997</v>
      </c>
      <c r="C36" s="4">
        <v>8.6601999999999998E-2</v>
      </c>
      <c r="I36" s="3" t="s">
        <v>11</v>
      </c>
      <c r="J36" s="6">
        <v>38</v>
      </c>
    </row>
    <row r="37" spans="1:10" x14ac:dyDescent="0.25">
      <c r="A37" s="4">
        <v>30.302011</v>
      </c>
      <c r="B37" s="4">
        <v>33.93385</v>
      </c>
      <c r="C37" s="4">
        <v>8.3180000000000004E-2</v>
      </c>
      <c r="I37" s="3" t="s">
        <v>11</v>
      </c>
      <c r="J37" s="6">
        <v>28</v>
      </c>
    </row>
    <row r="38" spans="1:10" x14ac:dyDescent="0.25">
      <c r="A38" s="4">
        <v>30.290537</v>
      </c>
      <c r="B38" s="4">
        <v>33.937330000000003</v>
      </c>
      <c r="C38" s="4">
        <v>8.2611000000000004E-2</v>
      </c>
      <c r="I38" s="3" t="s">
        <v>11</v>
      </c>
      <c r="J38" s="6">
        <v>29</v>
      </c>
    </row>
    <row r="39" spans="1:10" x14ac:dyDescent="0.25">
      <c r="A39" s="4">
        <v>30.382335999999999</v>
      </c>
      <c r="B39" s="4">
        <v>34.171379999999999</v>
      </c>
      <c r="C39" s="4">
        <v>7.9011999999999999E-2</v>
      </c>
      <c r="I39" s="3" t="s">
        <v>11</v>
      </c>
      <c r="J39" s="6">
        <v>22</v>
      </c>
    </row>
    <row r="40" spans="1:10" x14ac:dyDescent="0.25">
      <c r="A40" s="4">
        <v>30.158574999999999</v>
      </c>
      <c r="B40" s="4">
        <v>34.171379999999999</v>
      </c>
      <c r="C40" s="4">
        <v>7.2653999999999996E-2</v>
      </c>
      <c r="I40" s="3" t="s">
        <v>11</v>
      </c>
      <c r="J40" s="6">
        <v>38</v>
      </c>
    </row>
    <row r="41" spans="1:10" x14ac:dyDescent="0.25">
      <c r="A41" s="4">
        <v>30.426085</v>
      </c>
      <c r="B41" s="4">
        <v>34.17362</v>
      </c>
      <c r="C41" s="4">
        <v>7.3696999999999999E-2</v>
      </c>
      <c r="I41" s="3" t="s">
        <v>11</v>
      </c>
      <c r="J41" s="6">
        <v>24</v>
      </c>
    </row>
    <row r="42" spans="1:10" x14ac:dyDescent="0.25">
      <c r="A42" s="4">
        <v>30.324960000000001</v>
      </c>
      <c r="B42" s="4">
        <v>34.165869999999998</v>
      </c>
      <c r="C42" s="4">
        <v>7.5138999999999997E-2</v>
      </c>
      <c r="I42" s="3" t="s">
        <v>11</v>
      </c>
      <c r="J42" s="6">
        <v>29</v>
      </c>
    </row>
    <row r="43" spans="1:10" x14ac:dyDescent="0.25">
      <c r="A43" s="4">
        <v>30.198736</v>
      </c>
      <c r="B43" s="4">
        <v>34.295459999999999</v>
      </c>
      <c r="C43" s="4">
        <v>8.3349999999999994E-2</v>
      </c>
      <c r="I43" s="3" t="s">
        <v>11</v>
      </c>
      <c r="J43" s="6">
        <v>30</v>
      </c>
    </row>
    <row r="44" spans="1:10" x14ac:dyDescent="0.25">
      <c r="A44" s="4">
        <v>30.137058</v>
      </c>
      <c r="B44" s="4">
        <v>34.203519999999997</v>
      </c>
      <c r="C44" s="4">
        <v>8.0096000000000001E-2</v>
      </c>
      <c r="I44" s="3" t="s">
        <v>11</v>
      </c>
      <c r="J44" s="6">
        <v>16</v>
      </c>
    </row>
    <row r="45" spans="1:10" x14ac:dyDescent="0.25">
      <c r="A45" s="4">
        <v>30.143512999999999</v>
      </c>
      <c r="B45" s="4">
        <v>34.263159999999999</v>
      </c>
      <c r="C45" s="4">
        <v>8.2667000000000004E-2</v>
      </c>
      <c r="I45" s="3" t="s">
        <v>11</v>
      </c>
      <c r="J45" s="6">
        <v>31</v>
      </c>
    </row>
    <row r="46" spans="1:10" x14ac:dyDescent="0.25">
      <c r="A46" s="4">
        <v>29.903973000000001</v>
      </c>
      <c r="B46" s="4">
        <v>34.376420000000003</v>
      </c>
      <c r="C46" s="4">
        <v>8.0456E-2</v>
      </c>
      <c r="I46" s="3" t="s">
        <v>11</v>
      </c>
      <c r="J46" s="6">
        <v>36</v>
      </c>
    </row>
    <row r="47" spans="1:10" x14ac:dyDescent="0.25">
      <c r="A47" s="4">
        <v>29.782769999999999</v>
      </c>
      <c r="B47" s="4">
        <v>34.456650000000003</v>
      </c>
      <c r="C47" s="4">
        <v>7.9838000000000006E-2</v>
      </c>
      <c r="I47" s="3" t="s">
        <v>11</v>
      </c>
      <c r="J47" s="6">
        <v>26</v>
      </c>
    </row>
    <row r="48" spans="1:10" x14ac:dyDescent="0.25">
      <c r="A48" s="4">
        <v>30.267586000000001</v>
      </c>
      <c r="B48" s="4">
        <v>34.224699999999999</v>
      </c>
      <c r="C48" s="4">
        <v>8.0553E-2</v>
      </c>
      <c r="I48" s="3" t="s">
        <v>11</v>
      </c>
      <c r="J48" s="6">
        <v>21</v>
      </c>
    </row>
    <row r="49" spans="1:10" x14ac:dyDescent="0.25">
      <c r="A49" s="4">
        <v>29.721810000000001</v>
      </c>
      <c r="B49" s="4">
        <v>34.176850000000002</v>
      </c>
      <c r="C49" s="4">
        <v>8.3388000000000004E-2</v>
      </c>
      <c r="I49" s="3" t="s">
        <v>11</v>
      </c>
      <c r="J49" s="6">
        <v>15</v>
      </c>
    </row>
    <row r="50" spans="1:10" x14ac:dyDescent="0.25">
      <c r="A50" s="4">
        <v>30.111239999999999</v>
      </c>
      <c r="B50" s="4">
        <v>34.101469999999999</v>
      </c>
      <c r="C50" s="4">
        <v>9.6105999999999997E-2</v>
      </c>
      <c r="I50" s="3" t="s">
        <v>11</v>
      </c>
      <c r="J50" s="6">
        <v>34</v>
      </c>
    </row>
    <row r="51" spans="1:10" x14ac:dyDescent="0.25">
      <c r="A51" s="4">
        <v>30.083269999999999</v>
      </c>
      <c r="B51" s="4">
        <v>34.240099999999998</v>
      </c>
      <c r="C51" s="4">
        <v>0.10449799999999999</v>
      </c>
      <c r="I51" s="3" t="s">
        <v>11</v>
      </c>
      <c r="J51" s="6">
        <v>20</v>
      </c>
    </row>
    <row r="52" spans="1:10" x14ac:dyDescent="0.25">
      <c r="A52" s="4">
        <v>29.698858000000001</v>
      </c>
      <c r="B52" s="4">
        <v>34.251800000000003</v>
      </c>
      <c r="C52" s="4">
        <v>0.101922</v>
      </c>
      <c r="I52" s="3" t="s">
        <v>11</v>
      </c>
      <c r="J52" s="6">
        <v>33</v>
      </c>
    </row>
    <row r="53" spans="1:10" x14ac:dyDescent="0.25">
      <c r="A53" s="4">
        <v>29.196111999999999</v>
      </c>
      <c r="B53" s="4">
        <v>34.230289999999997</v>
      </c>
      <c r="C53" s="4">
        <v>0.115658</v>
      </c>
      <c r="I53" s="3" t="s">
        <v>11</v>
      </c>
      <c r="J53" s="6">
        <v>15</v>
      </c>
    </row>
    <row r="54" spans="1:10" x14ac:dyDescent="0.25">
      <c r="A54" s="4">
        <v>29.778465000000001</v>
      </c>
      <c r="B54" s="4">
        <v>34.317010000000003</v>
      </c>
      <c r="C54" s="4">
        <v>9.4633999999999996E-2</v>
      </c>
      <c r="I54" s="3" t="s">
        <v>11</v>
      </c>
      <c r="J54" s="6">
        <v>32</v>
      </c>
    </row>
    <row r="55" spans="1:10" x14ac:dyDescent="0.25">
      <c r="A55" s="4">
        <v>29.578371000000001</v>
      </c>
      <c r="B55" s="4">
        <v>34.341369999999998</v>
      </c>
      <c r="C55" s="4">
        <v>8.1559000000000006E-2</v>
      </c>
      <c r="I55" s="3" t="s">
        <v>11</v>
      </c>
      <c r="J55" s="6">
        <v>18</v>
      </c>
    </row>
    <row r="56" spans="1:10" x14ac:dyDescent="0.25">
      <c r="A56" s="4">
        <v>29.956327000000002</v>
      </c>
      <c r="B56" s="4">
        <v>34.346350000000001</v>
      </c>
      <c r="C56" s="4">
        <v>9.1138999999999998E-2</v>
      </c>
      <c r="I56" s="3" t="s">
        <v>11</v>
      </c>
      <c r="J56" s="6">
        <v>26</v>
      </c>
    </row>
    <row r="57" spans="1:10" x14ac:dyDescent="0.25">
      <c r="A57" s="4">
        <v>30.298425999999999</v>
      </c>
      <c r="B57" s="4">
        <v>34.267940000000003</v>
      </c>
      <c r="C57" s="4">
        <v>9.5311999999999994E-2</v>
      </c>
      <c r="I57" s="3" t="s">
        <v>11</v>
      </c>
      <c r="J57" s="6">
        <v>38</v>
      </c>
    </row>
    <row r="58" spans="1:10" x14ac:dyDescent="0.25">
      <c r="A58" s="4">
        <v>30.936002999999999</v>
      </c>
      <c r="B58" s="4">
        <v>34.432609999999997</v>
      </c>
      <c r="C58" s="4">
        <v>0.104008</v>
      </c>
      <c r="I58" s="3" t="s">
        <v>11</v>
      </c>
      <c r="J58" s="6">
        <v>24</v>
      </c>
    </row>
    <row r="59" spans="1:10" x14ac:dyDescent="0.25">
      <c r="A59" s="4">
        <v>30.651997000000001</v>
      </c>
      <c r="B59" s="4">
        <v>34.474980000000002</v>
      </c>
      <c r="C59" s="4">
        <v>0.10391400000000001</v>
      </c>
      <c r="I59" s="3" t="s">
        <v>11</v>
      </c>
      <c r="J59" s="6">
        <v>33</v>
      </c>
    </row>
    <row r="60" spans="1:10" x14ac:dyDescent="0.25">
      <c r="A60" s="4">
        <v>30.858547000000002</v>
      </c>
      <c r="B60" s="4">
        <v>34.352379999999997</v>
      </c>
      <c r="C60" s="4">
        <v>9.7660999999999998E-2</v>
      </c>
      <c r="I60" s="3" t="s">
        <v>11</v>
      </c>
      <c r="J60" s="6">
        <v>20</v>
      </c>
    </row>
    <row r="61" spans="1:10" x14ac:dyDescent="0.25">
      <c r="A61" s="4">
        <v>30.987639999999999</v>
      </c>
      <c r="B61" s="4">
        <v>34.300690000000003</v>
      </c>
      <c r="C61" s="4">
        <v>0.10559300000000001</v>
      </c>
      <c r="I61" s="3" t="s">
        <v>11</v>
      </c>
      <c r="J61" s="6">
        <v>29</v>
      </c>
    </row>
    <row r="62" spans="1:10" x14ac:dyDescent="0.25">
      <c r="A62" s="4">
        <v>30.65917</v>
      </c>
      <c r="B62" s="4">
        <v>34.211959999999998</v>
      </c>
      <c r="C62" s="4">
        <v>0.107185</v>
      </c>
      <c r="I62" s="3" t="s">
        <v>11</v>
      </c>
      <c r="J62" s="6">
        <v>26</v>
      </c>
    </row>
    <row r="63" spans="1:10" x14ac:dyDescent="0.25">
      <c r="A63" s="4">
        <v>30.281929000000002</v>
      </c>
      <c r="B63" s="4">
        <v>34.307810000000003</v>
      </c>
      <c r="C63" s="4">
        <v>0.104397</v>
      </c>
      <c r="I63" s="3" t="s">
        <v>11</v>
      </c>
      <c r="J63" s="6">
        <v>17</v>
      </c>
    </row>
    <row r="64" spans="1:10" x14ac:dyDescent="0.25">
      <c r="A64" s="4">
        <v>29.890346999999998</v>
      </c>
      <c r="B64" s="4">
        <v>34.56297</v>
      </c>
      <c r="C64" s="4">
        <v>9.5923999999999995E-2</v>
      </c>
      <c r="I64" s="3" t="s">
        <v>11</v>
      </c>
      <c r="J64" s="6">
        <v>24</v>
      </c>
    </row>
    <row r="65" spans="1:10" x14ac:dyDescent="0.25">
      <c r="A65" s="4">
        <v>29.678778000000001</v>
      </c>
      <c r="B65" s="4">
        <v>34.337800000000001</v>
      </c>
      <c r="C65" s="4">
        <v>9.5634999999999998E-2</v>
      </c>
      <c r="I65" s="3" t="s">
        <v>11</v>
      </c>
      <c r="J65" s="6">
        <v>36</v>
      </c>
    </row>
    <row r="66" spans="1:10" x14ac:dyDescent="0.25">
      <c r="A66" s="4">
        <v>29.980713000000002</v>
      </c>
      <c r="B66" s="4">
        <v>34.307580000000002</v>
      </c>
      <c r="C66" s="4">
        <v>9.1769000000000003E-2</v>
      </c>
      <c r="I66" s="3" t="s">
        <v>11</v>
      </c>
      <c r="J66" s="6">
        <v>26</v>
      </c>
    </row>
    <row r="67" spans="1:10" x14ac:dyDescent="0.25">
      <c r="A67" s="4">
        <v>29.9635</v>
      </c>
      <c r="B67" s="4">
        <v>34.303739999999998</v>
      </c>
      <c r="C67" s="4">
        <v>8.9554999999999996E-2</v>
      </c>
      <c r="I67" s="3" t="s">
        <v>12</v>
      </c>
      <c r="J67" s="6">
        <v>16</v>
      </c>
    </row>
    <row r="68" spans="1:10" x14ac:dyDescent="0.25">
      <c r="A68" s="4">
        <v>30.440428000000001</v>
      </c>
      <c r="B68" s="4">
        <v>34.43817</v>
      </c>
      <c r="C68" s="4">
        <v>9.5537999999999998E-2</v>
      </c>
      <c r="I68" s="3" t="s">
        <v>12</v>
      </c>
      <c r="J68" s="6">
        <v>22</v>
      </c>
    </row>
    <row r="69" spans="1:10" x14ac:dyDescent="0.25">
      <c r="A69" s="4">
        <v>30.233162</v>
      </c>
      <c r="B69" s="4">
        <v>34.39461</v>
      </c>
      <c r="C69" s="4">
        <v>9.4726000000000005E-2</v>
      </c>
      <c r="I69" s="3" t="s">
        <v>12</v>
      </c>
      <c r="J69" s="6">
        <v>17</v>
      </c>
    </row>
    <row r="70" spans="1:10" x14ac:dyDescent="0.25">
      <c r="A70" s="4">
        <v>30.101199999999999</v>
      </c>
      <c r="B70" s="4">
        <v>34.317250000000001</v>
      </c>
      <c r="C70" s="4">
        <v>0.10062500000000001</v>
      </c>
      <c r="I70" s="3" t="s">
        <v>12</v>
      </c>
      <c r="J70" s="6">
        <v>34</v>
      </c>
    </row>
    <row r="71" spans="1:10" x14ac:dyDescent="0.25">
      <c r="A71" s="4">
        <v>30.2181</v>
      </c>
      <c r="B71" s="4">
        <v>34.414850000000001</v>
      </c>
      <c r="C71" s="4">
        <v>0.105131</v>
      </c>
      <c r="I71" s="3" t="s">
        <v>12</v>
      </c>
      <c r="J71" s="6">
        <v>15</v>
      </c>
    </row>
    <row r="72" spans="1:10" x14ac:dyDescent="0.25">
      <c r="A72" s="4">
        <v>30.572389999999999</v>
      </c>
      <c r="B72" s="4">
        <v>34.548819999999999</v>
      </c>
      <c r="C72" s="4">
        <v>0.112884</v>
      </c>
      <c r="I72" s="3" t="s">
        <v>12</v>
      </c>
      <c r="J72" s="6">
        <v>28</v>
      </c>
    </row>
    <row r="73" spans="1:10" x14ac:dyDescent="0.25">
      <c r="A73" s="4">
        <v>30.022307999999999</v>
      </c>
      <c r="B73" s="4">
        <v>34.430509999999998</v>
      </c>
      <c r="C73" s="4">
        <v>9.9901000000000004E-2</v>
      </c>
      <c r="I73" s="3" t="s">
        <v>12</v>
      </c>
      <c r="J73" s="6">
        <v>19</v>
      </c>
    </row>
    <row r="74" spans="1:10" x14ac:dyDescent="0.25">
      <c r="A74" s="4">
        <v>28.922865000000002</v>
      </c>
      <c r="B74" s="4">
        <v>33.538699999999999</v>
      </c>
      <c r="C74" s="4">
        <v>7.4954999999999994E-2</v>
      </c>
      <c r="I74" s="3" t="s">
        <v>12</v>
      </c>
      <c r="J74" s="6">
        <v>33</v>
      </c>
    </row>
    <row r="75" spans="1:10" x14ac:dyDescent="0.25">
      <c r="A75" s="4">
        <v>28.917128000000002</v>
      </c>
      <c r="B75" s="4">
        <v>33.419130000000003</v>
      </c>
      <c r="C75" s="4">
        <v>7.2333999999999996E-2</v>
      </c>
      <c r="I75" s="3" t="s">
        <v>12</v>
      </c>
      <c r="J75" s="6">
        <v>26</v>
      </c>
    </row>
    <row r="76" spans="1:10" x14ac:dyDescent="0.25">
      <c r="A76" s="4">
        <v>28.849712</v>
      </c>
      <c r="B76" s="4">
        <v>33.773180000000004</v>
      </c>
      <c r="C76" s="4">
        <v>7.4935000000000002E-2</v>
      </c>
      <c r="I76" s="3" t="s">
        <v>12</v>
      </c>
      <c r="J76" s="6">
        <v>23</v>
      </c>
    </row>
    <row r="77" spans="1:10" x14ac:dyDescent="0.25">
      <c r="A77" s="4">
        <v>29.063433</v>
      </c>
      <c r="B77" s="4">
        <v>33.46611</v>
      </c>
      <c r="C77" s="4">
        <v>7.9688999999999996E-2</v>
      </c>
      <c r="I77" s="3" t="s">
        <v>12</v>
      </c>
      <c r="J77" s="6">
        <v>17</v>
      </c>
    </row>
    <row r="78" spans="1:10" x14ac:dyDescent="0.25">
      <c r="A78" s="4">
        <v>28.895610000000001</v>
      </c>
      <c r="B78" s="4">
        <v>33.804009999999998</v>
      </c>
      <c r="C78" s="4">
        <v>8.7048E-2</v>
      </c>
      <c r="I78" s="3" t="s">
        <v>12</v>
      </c>
      <c r="J78" s="6">
        <v>17</v>
      </c>
    </row>
    <row r="79" spans="1:10" x14ac:dyDescent="0.25">
      <c r="A79" s="4">
        <v>28.729942000000001</v>
      </c>
      <c r="B79" s="4">
        <v>33.911430000000003</v>
      </c>
      <c r="C79" s="4">
        <v>9.4640000000000002E-2</v>
      </c>
      <c r="I79" s="3" t="s">
        <v>12</v>
      </c>
      <c r="J79" s="6">
        <v>35</v>
      </c>
    </row>
    <row r="80" spans="1:10" x14ac:dyDescent="0.25">
      <c r="A80" s="4">
        <v>28.958006000000001</v>
      </c>
      <c r="B80" s="4">
        <v>33.965139999999998</v>
      </c>
      <c r="C80" s="4">
        <v>9.5937999999999996E-2</v>
      </c>
      <c r="I80" s="3" t="s">
        <v>12</v>
      </c>
      <c r="J80" s="6">
        <v>24</v>
      </c>
    </row>
    <row r="81" spans="1:10" x14ac:dyDescent="0.25">
      <c r="A81" s="4">
        <v>28.888439999999999</v>
      </c>
      <c r="B81" s="4">
        <v>34.17022</v>
      </c>
      <c r="C81" s="4">
        <v>9.2287999999999995E-2</v>
      </c>
      <c r="I81" s="3" t="s">
        <v>12</v>
      </c>
      <c r="J81" s="6">
        <v>19</v>
      </c>
    </row>
    <row r="82" spans="1:10" x14ac:dyDescent="0.25">
      <c r="A82" s="4">
        <v>28.808115000000001</v>
      </c>
      <c r="B82" s="4">
        <v>34.716169999999998</v>
      </c>
      <c r="C82" s="4">
        <v>9.5427999999999999E-2</v>
      </c>
      <c r="I82" s="3" t="s">
        <v>12</v>
      </c>
      <c r="J82" s="6">
        <v>28</v>
      </c>
    </row>
    <row r="83" spans="1:10" x14ac:dyDescent="0.25">
      <c r="A83" s="4">
        <v>28.841822000000001</v>
      </c>
      <c r="B83" s="4">
        <v>34.311889999999998</v>
      </c>
      <c r="C83" s="4">
        <v>9.6795999999999993E-2</v>
      </c>
      <c r="I83" s="3" t="s">
        <v>12</v>
      </c>
      <c r="J83" s="6">
        <v>27</v>
      </c>
    </row>
    <row r="84" spans="1:10" x14ac:dyDescent="0.25">
      <c r="A84" s="4">
        <v>28.847560000000001</v>
      </c>
      <c r="B84" s="4">
        <v>34.373159999999999</v>
      </c>
      <c r="C84" s="4">
        <v>0.100399</v>
      </c>
      <c r="I84" s="3" t="s">
        <v>12</v>
      </c>
      <c r="J84" s="6">
        <v>35</v>
      </c>
    </row>
    <row r="85" spans="1:10" x14ac:dyDescent="0.25">
      <c r="A85" s="4">
        <v>28.898479999999999</v>
      </c>
      <c r="B85" s="4">
        <v>34.483040000000003</v>
      </c>
      <c r="C85" s="4">
        <v>9.9996000000000002E-2</v>
      </c>
      <c r="I85" s="3" t="s">
        <v>12</v>
      </c>
      <c r="J85" s="6">
        <v>19</v>
      </c>
    </row>
    <row r="86" spans="1:10" x14ac:dyDescent="0.25">
      <c r="A86" s="4">
        <v>29.123676</v>
      </c>
      <c r="B86" s="4">
        <v>34.092579999999998</v>
      </c>
      <c r="C86" s="4">
        <v>0.102968</v>
      </c>
      <c r="I86" s="3" t="s">
        <v>12</v>
      </c>
      <c r="J86" s="6">
        <v>24</v>
      </c>
    </row>
    <row r="87" spans="1:10" x14ac:dyDescent="0.25">
      <c r="A87" s="4">
        <v>29.214040000000001</v>
      </c>
      <c r="B87" s="4">
        <v>33.731699999999996</v>
      </c>
      <c r="C87" s="4">
        <v>0.111363</v>
      </c>
      <c r="I87" s="3" t="s">
        <v>12</v>
      </c>
      <c r="J87" s="6">
        <v>16</v>
      </c>
    </row>
    <row r="88" spans="1:10" x14ac:dyDescent="0.25">
      <c r="A88" s="4">
        <v>29.449995000000001</v>
      </c>
      <c r="B88" s="4">
        <v>33.052309999999999</v>
      </c>
      <c r="C88" s="4">
        <v>0.11545</v>
      </c>
      <c r="I88" s="3" t="s">
        <v>12</v>
      </c>
      <c r="J88" s="6">
        <v>36</v>
      </c>
    </row>
    <row r="89" spans="1:10" x14ac:dyDescent="0.25">
      <c r="A89" s="4">
        <v>29.113636</v>
      </c>
      <c r="B89" s="4">
        <v>33.842770000000002</v>
      </c>
      <c r="C89" s="4">
        <v>0.114966</v>
      </c>
      <c r="I89" s="3" t="s">
        <v>12</v>
      </c>
      <c r="J89" s="6">
        <v>20</v>
      </c>
    </row>
    <row r="90" spans="1:10" x14ac:dyDescent="0.25">
      <c r="A90" s="4">
        <v>29.099292999999999</v>
      </c>
      <c r="B90" s="4">
        <v>33.890599999999999</v>
      </c>
      <c r="C90" s="4">
        <v>0.108337</v>
      </c>
      <c r="I90" s="3" t="s">
        <v>12</v>
      </c>
      <c r="J90" s="6">
        <v>37</v>
      </c>
    </row>
    <row r="91" spans="1:10" x14ac:dyDescent="0.25">
      <c r="A91" s="4">
        <v>28.867640999999999</v>
      </c>
      <c r="B91" s="4">
        <v>33.781059999999997</v>
      </c>
      <c r="C91" s="4">
        <v>0.116702</v>
      </c>
      <c r="I91" s="3" t="s">
        <v>12</v>
      </c>
      <c r="J91" s="6">
        <v>32</v>
      </c>
    </row>
    <row r="92" spans="1:10" x14ac:dyDescent="0.25">
      <c r="A92" s="4">
        <v>28.881985</v>
      </c>
      <c r="B92" s="4">
        <v>33.808019999999999</v>
      </c>
      <c r="C92" s="4">
        <v>0.13412499999999999</v>
      </c>
      <c r="I92" s="3" t="s">
        <v>12</v>
      </c>
      <c r="J92" s="6">
        <v>28</v>
      </c>
    </row>
    <row r="93" spans="1:10" x14ac:dyDescent="0.25">
      <c r="A93" s="4">
        <v>28.938642999999999</v>
      </c>
      <c r="B93" s="4">
        <v>33.919490000000003</v>
      </c>
      <c r="C93" s="4">
        <v>0.129215</v>
      </c>
      <c r="I93" s="3" t="s">
        <v>12</v>
      </c>
      <c r="J93" s="6">
        <v>25</v>
      </c>
    </row>
    <row r="94" spans="1:10" x14ac:dyDescent="0.25">
      <c r="A94" s="4">
        <v>28.784448999999999</v>
      </c>
      <c r="B94" s="4">
        <v>34.037230000000001</v>
      </c>
      <c r="C94" s="4">
        <v>0.13705899999999999</v>
      </c>
      <c r="I94" s="3" t="s">
        <v>12</v>
      </c>
      <c r="J94" s="6">
        <v>32</v>
      </c>
    </row>
    <row r="95" spans="1:10" x14ac:dyDescent="0.25">
      <c r="A95" s="4">
        <v>28.991714000000002</v>
      </c>
      <c r="B95" s="4">
        <v>34.203090000000003</v>
      </c>
      <c r="C95" s="4">
        <v>0.11815199999999999</v>
      </c>
      <c r="I95" s="3" t="s">
        <v>12</v>
      </c>
      <c r="J95" s="6">
        <v>36</v>
      </c>
    </row>
    <row r="96" spans="1:10" x14ac:dyDescent="0.25">
      <c r="A96" s="4">
        <v>28.679739000000001</v>
      </c>
      <c r="B96" s="4">
        <v>34.05977</v>
      </c>
      <c r="C96" s="4">
        <v>0.114148</v>
      </c>
      <c r="I96" s="3" t="s">
        <v>12</v>
      </c>
      <c r="J96" s="6">
        <v>33</v>
      </c>
    </row>
    <row r="97" spans="1:10" x14ac:dyDescent="0.25">
      <c r="A97" s="4">
        <v>28.835367000000002</v>
      </c>
      <c r="B97" s="4">
        <v>34.349899999999998</v>
      </c>
      <c r="C97" s="4">
        <v>0.116754</v>
      </c>
      <c r="I97" s="3" t="s">
        <v>12</v>
      </c>
      <c r="J97" s="6">
        <v>30</v>
      </c>
    </row>
    <row r="98" spans="1:10" x14ac:dyDescent="0.25">
      <c r="A98" s="4">
        <v>28.999603</v>
      </c>
      <c r="B98" s="4">
        <v>34.455399999999997</v>
      </c>
      <c r="C98" s="4">
        <v>0.11423899999999999</v>
      </c>
      <c r="I98" s="3" t="s">
        <v>12</v>
      </c>
      <c r="J98" s="6">
        <v>36</v>
      </c>
    </row>
    <row r="99" spans="1:10" x14ac:dyDescent="0.25">
      <c r="A99" s="4">
        <v>28.889873999999999</v>
      </c>
      <c r="B99" s="4">
        <v>34.637149999999998</v>
      </c>
      <c r="C99" s="4">
        <v>0.118535</v>
      </c>
      <c r="I99" s="3" t="s">
        <v>12</v>
      </c>
      <c r="J99" s="6">
        <v>29</v>
      </c>
    </row>
    <row r="100" spans="1:10" x14ac:dyDescent="0.25">
      <c r="A100" s="4">
        <v>28.790185999999999</v>
      </c>
      <c r="B100" s="4">
        <v>33.888570000000001</v>
      </c>
      <c r="C100" s="4">
        <v>0.12545100000000001</v>
      </c>
      <c r="I100" s="3" t="s">
        <v>12</v>
      </c>
      <c r="J100" s="6">
        <v>23</v>
      </c>
    </row>
    <row r="101" spans="1:10" x14ac:dyDescent="0.25">
      <c r="A101" s="4">
        <v>29.228386</v>
      </c>
      <c r="B101" s="4">
        <v>33.895699999999998</v>
      </c>
      <c r="C101" s="4">
        <v>0.113689</v>
      </c>
      <c r="I101" s="3" t="s">
        <v>12</v>
      </c>
      <c r="J101" s="6">
        <v>28</v>
      </c>
    </row>
    <row r="102" spans="1:10" x14ac:dyDescent="0.25">
      <c r="A102" s="4">
        <v>29.154513999999999</v>
      </c>
      <c r="B102" s="4">
        <v>33.857349999999997</v>
      </c>
      <c r="C102" s="4">
        <v>0.11175499999999999</v>
      </c>
      <c r="I102" s="3" t="s">
        <v>12</v>
      </c>
      <c r="J102" s="6">
        <v>32</v>
      </c>
    </row>
    <row r="103" spans="1:10" x14ac:dyDescent="0.25">
      <c r="A103" s="4">
        <v>29.122242</v>
      </c>
      <c r="B103" s="4">
        <v>34.008159999999997</v>
      </c>
      <c r="C103" s="4">
        <v>0.112373</v>
      </c>
      <c r="I103" s="3" t="s">
        <v>12</v>
      </c>
      <c r="J103" s="6">
        <v>19</v>
      </c>
    </row>
    <row r="104" spans="1:10" x14ac:dyDescent="0.25">
      <c r="A104" s="4">
        <v>28.905650999999999</v>
      </c>
      <c r="B104" s="4">
        <v>33.963909999999998</v>
      </c>
      <c r="C104" s="4">
        <v>0.114318</v>
      </c>
      <c r="I104" s="3" t="s">
        <v>12</v>
      </c>
      <c r="J104" s="6">
        <v>37</v>
      </c>
    </row>
    <row r="105" spans="1:10" x14ac:dyDescent="0.25">
      <c r="I105" s="3" t="s">
        <v>12</v>
      </c>
      <c r="J105" s="6">
        <v>22</v>
      </c>
    </row>
    <row r="106" spans="1:10" x14ac:dyDescent="0.25">
      <c r="I106" s="3" t="s">
        <v>12</v>
      </c>
      <c r="J106" s="6">
        <v>33</v>
      </c>
    </row>
    <row r="107" spans="1:10" x14ac:dyDescent="0.25">
      <c r="I107" s="3" t="s">
        <v>12</v>
      </c>
      <c r="J107" s="6">
        <v>30</v>
      </c>
    </row>
    <row r="108" spans="1:10" x14ac:dyDescent="0.25">
      <c r="I108" s="3" t="s">
        <v>12</v>
      </c>
      <c r="J108" s="6">
        <v>28</v>
      </c>
    </row>
    <row r="109" spans="1:10" x14ac:dyDescent="0.25">
      <c r="I109" s="3" t="s">
        <v>12</v>
      </c>
      <c r="J109" s="6">
        <v>22</v>
      </c>
    </row>
    <row r="110" spans="1:10" x14ac:dyDescent="0.25">
      <c r="I110" s="3" t="s">
        <v>12</v>
      </c>
      <c r="J110" s="6">
        <v>24</v>
      </c>
    </row>
    <row r="111" spans="1:10" x14ac:dyDescent="0.25">
      <c r="I111" s="3" t="s">
        <v>12</v>
      </c>
      <c r="J111" s="6">
        <v>38</v>
      </c>
    </row>
    <row r="112" spans="1:10" x14ac:dyDescent="0.25">
      <c r="I112" s="3" t="s">
        <v>12</v>
      </c>
      <c r="J112" s="6">
        <v>17</v>
      </c>
    </row>
    <row r="113" spans="9:10" x14ac:dyDescent="0.25">
      <c r="I113" s="3" t="s">
        <v>12</v>
      </c>
      <c r="J113" s="6">
        <v>17</v>
      </c>
    </row>
    <row r="114" spans="9:10" x14ac:dyDescent="0.25">
      <c r="I114" s="3" t="s">
        <v>12</v>
      </c>
      <c r="J114" s="6">
        <v>18</v>
      </c>
    </row>
    <row r="115" spans="9:10" x14ac:dyDescent="0.25">
      <c r="I115" s="3" t="s">
        <v>12</v>
      </c>
      <c r="J115" s="6">
        <v>15</v>
      </c>
    </row>
    <row r="116" spans="9:10" x14ac:dyDescent="0.25">
      <c r="I116" s="3" t="s">
        <v>12</v>
      </c>
      <c r="J116" s="6">
        <v>20</v>
      </c>
    </row>
    <row r="117" spans="9:10" x14ac:dyDescent="0.25">
      <c r="I117" s="3" t="s">
        <v>12</v>
      </c>
      <c r="J117" s="6">
        <v>32</v>
      </c>
    </row>
    <row r="118" spans="9:10" x14ac:dyDescent="0.25">
      <c r="I118" s="3" t="s">
        <v>12</v>
      </c>
      <c r="J118" s="6">
        <v>15</v>
      </c>
    </row>
    <row r="119" spans="9:10" x14ac:dyDescent="0.25">
      <c r="I119" s="3" t="s">
        <v>12</v>
      </c>
      <c r="J119" s="6">
        <v>24</v>
      </c>
    </row>
    <row r="120" spans="9:10" x14ac:dyDescent="0.25">
      <c r="I120" s="3" t="s">
        <v>12</v>
      </c>
      <c r="J120" s="6">
        <v>17</v>
      </c>
    </row>
    <row r="121" spans="9:10" x14ac:dyDescent="0.25">
      <c r="I121" s="3" t="s">
        <v>12</v>
      </c>
      <c r="J121" s="6">
        <v>32</v>
      </c>
    </row>
    <row r="122" spans="9:10" x14ac:dyDescent="0.25">
      <c r="I122" s="3" t="s">
        <v>12</v>
      </c>
      <c r="J122" s="6">
        <v>28</v>
      </c>
    </row>
    <row r="123" spans="9:10" x14ac:dyDescent="0.25">
      <c r="I123" s="3" t="s">
        <v>12</v>
      </c>
      <c r="J123" s="6">
        <v>31</v>
      </c>
    </row>
    <row r="124" spans="9:10" x14ac:dyDescent="0.25">
      <c r="I124" s="3" t="s">
        <v>12</v>
      </c>
      <c r="J124" s="6">
        <v>21</v>
      </c>
    </row>
    <row r="125" spans="9:10" x14ac:dyDescent="0.25">
      <c r="I125" s="3" t="s">
        <v>12</v>
      </c>
      <c r="J125" s="6">
        <v>26</v>
      </c>
    </row>
    <row r="126" spans="9:10" x14ac:dyDescent="0.25">
      <c r="I126" s="3" t="s">
        <v>12</v>
      </c>
      <c r="J126" s="6">
        <v>35</v>
      </c>
    </row>
    <row r="127" spans="9:10" x14ac:dyDescent="0.25">
      <c r="I127" s="3" t="s">
        <v>12</v>
      </c>
      <c r="J127" s="6">
        <v>36</v>
      </c>
    </row>
    <row r="128" spans="9:10" x14ac:dyDescent="0.25">
      <c r="I128" s="3" t="s">
        <v>12</v>
      </c>
      <c r="J128" s="6">
        <v>19</v>
      </c>
    </row>
    <row r="129" spans="9:10" x14ac:dyDescent="0.25">
      <c r="I129" s="3" t="s">
        <v>12</v>
      </c>
      <c r="J129" s="6">
        <v>20</v>
      </c>
    </row>
    <row r="130" spans="9:10" x14ac:dyDescent="0.25">
      <c r="I130" s="3" t="s">
        <v>12</v>
      </c>
      <c r="J130" s="6">
        <v>26</v>
      </c>
    </row>
    <row r="131" spans="9:10" x14ac:dyDescent="0.25">
      <c r="I131" s="3" t="s">
        <v>12</v>
      </c>
      <c r="J131" s="6">
        <v>30</v>
      </c>
    </row>
    <row r="132" spans="9:10" x14ac:dyDescent="0.25">
      <c r="I132" s="3" t="s">
        <v>12</v>
      </c>
      <c r="J132" s="6">
        <v>27</v>
      </c>
    </row>
    <row r="133" spans="9:10" x14ac:dyDescent="0.25">
      <c r="I133" s="3" t="s">
        <v>12</v>
      </c>
      <c r="J133" s="6">
        <v>25</v>
      </c>
    </row>
    <row r="134" spans="9:10" x14ac:dyDescent="0.25">
      <c r="I134" s="3" t="s">
        <v>12</v>
      </c>
      <c r="J134" s="6">
        <v>16</v>
      </c>
    </row>
    <row r="135" spans="9:10" x14ac:dyDescent="0.25">
      <c r="I135" s="3" t="s">
        <v>12</v>
      </c>
      <c r="J135" s="6">
        <v>23</v>
      </c>
    </row>
    <row r="136" spans="9:10" x14ac:dyDescent="0.25">
      <c r="I136" s="3" t="s">
        <v>12</v>
      </c>
      <c r="J136" s="6">
        <v>15</v>
      </c>
    </row>
    <row r="137" spans="9:10" x14ac:dyDescent="0.25">
      <c r="I137" s="3" t="s">
        <v>12</v>
      </c>
      <c r="J137" s="6">
        <v>26</v>
      </c>
    </row>
    <row r="138" spans="9:10" x14ac:dyDescent="0.25">
      <c r="I138" s="3" t="s">
        <v>12</v>
      </c>
      <c r="J138" s="6">
        <v>31</v>
      </c>
    </row>
    <row r="139" spans="9:10" x14ac:dyDescent="0.25">
      <c r="I139" s="3" t="s">
        <v>12</v>
      </c>
      <c r="J139" s="6">
        <v>27</v>
      </c>
    </row>
    <row r="140" spans="9:10" x14ac:dyDescent="0.25">
      <c r="I140" s="3" t="s">
        <v>12</v>
      </c>
      <c r="J140" s="6">
        <v>18</v>
      </c>
    </row>
    <row r="141" spans="9:10" x14ac:dyDescent="0.25">
      <c r="I141" s="3" t="s">
        <v>12</v>
      </c>
      <c r="J141" s="6">
        <v>17</v>
      </c>
    </row>
    <row r="142" spans="9:10" x14ac:dyDescent="0.25">
      <c r="I142" s="3" t="s">
        <v>12</v>
      </c>
      <c r="J142" s="6">
        <v>17</v>
      </c>
    </row>
    <row r="143" spans="9:10" x14ac:dyDescent="0.25">
      <c r="I143" s="3" t="s">
        <v>12</v>
      </c>
      <c r="J143" s="6">
        <v>26</v>
      </c>
    </row>
    <row r="144" spans="9:10" x14ac:dyDescent="0.25">
      <c r="I144" s="3" t="s">
        <v>12</v>
      </c>
      <c r="J144" s="6">
        <v>37</v>
      </c>
    </row>
    <row r="145" spans="9:10" x14ac:dyDescent="0.25">
      <c r="I145" s="3" t="s">
        <v>12</v>
      </c>
      <c r="J145" s="6">
        <v>33</v>
      </c>
    </row>
    <row r="146" spans="9:10" x14ac:dyDescent="0.25">
      <c r="I146" s="3" t="s">
        <v>12</v>
      </c>
      <c r="J146" s="6">
        <v>17</v>
      </c>
    </row>
    <row r="147" spans="9:10" x14ac:dyDescent="0.25">
      <c r="I147" s="3" t="s">
        <v>12</v>
      </c>
      <c r="J147" s="6">
        <v>36</v>
      </c>
    </row>
    <row r="148" spans="9:10" x14ac:dyDescent="0.25">
      <c r="I148" s="3" t="s">
        <v>12</v>
      </c>
      <c r="J148" s="6">
        <v>36</v>
      </c>
    </row>
    <row r="149" spans="9:10" x14ac:dyDescent="0.25">
      <c r="I149" s="3" t="s">
        <v>12</v>
      </c>
      <c r="J149" s="6">
        <v>37</v>
      </c>
    </row>
    <row r="150" spans="9:10" x14ac:dyDescent="0.25">
      <c r="I150" s="3" t="s">
        <v>12</v>
      </c>
      <c r="J150" s="6">
        <v>23</v>
      </c>
    </row>
    <row r="151" spans="9:10" x14ac:dyDescent="0.25">
      <c r="I151" s="3" t="s">
        <v>12</v>
      </c>
      <c r="J151" s="6">
        <v>37</v>
      </c>
    </row>
    <row r="152" spans="9:10" x14ac:dyDescent="0.25">
      <c r="I152" s="3" t="s">
        <v>12</v>
      </c>
      <c r="J152" s="6">
        <v>17</v>
      </c>
    </row>
    <row r="153" spans="9:10" x14ac:dyDescent="0.25">
      <c r="I153" s="3" t="s">
        <v>12</v>
      </c>
      <c r="J153" s="6">
        <v>27</v>
      </c>
    </row>
    <row r="154" spans="9:10" x14ac:dyDescent="0.25">
      <c r="I154" s="3" t="s">
        <v>12</v>
      </c>
      <c r="J154" s="6">
        <v>27</v>
      </c>
    </row>
    <row r="155" spans="9:10" x14ac:dyDescent="0.25">
      <c r="I155" s="3" t="s">
        <v>12</v>
      </c>
      <c r="J155" s="6">
        <v>33</v>
      </c>
    </row>
    <row r="156" spans="9:10" x14ac:dyDescent="0.25">
      <c r="I156" s="3" t="s">
        <v>12</v>
      </c>
      <c r="J156" s="6">
        <v>30</v>
      </c>
    </row>
    <row r="157" spans="9:10" x14ac:dyDescent="0.25">
      <c r="I157" s="3" t="s">
        <v>13</v>
      </c>
      <c r="J157" s="6">
        <v>36</v>
      </c>
    </row>
    <row r="158" spans="9:10" x14ac:dyDescent="0.25">
      <c r="I158" s="3" t="s">
        <v>13</v>
      </c>
      <c r="J158" s="6">
        <v>26</v>
      </c>
    </row>
    <row r="159" spans="9:10" x14ac:dyDescent="0.25">
      <c r="I159" s="3" t="s">
        <v>13</v>
      </c>
      <c r="J159" s="6">
        <v>21</v>
      </c>
    </row>
    <row r="160" spans="9:10" x14ac:dyDescent="0.25">
      <c r="I160" s="3" t="s">
        <v>13</v>
      </c>
      <c r="J160" s="6">
        <v>34</v>
      </c>
    </row>
    <row r="161" spans="9:10" x14ac:dyDescent="0.25">
      <c r="I161" s="3" t="s">
        <v>13</v>
      </c>
      <c r="J161" s="6">
        <v>24</v>
      </c>
    </row>
    <row r="162" spans="9:10" x14ac:dyDescent="0.25">
      <c r="I162" s="3" t="s">
        <v>13</v>
      </c>
      <c r="J162" s="6">
        <v>27</v>
      </c>
    </row>
    <row r="163" spans="9:10" x14ac:dyDescent="0.25">
      <c r="I163" s="3" t="s">
        <v>13</v>
      </c>
      <c r="J163" s="6">
        <v>25</v>
      </c>
    </row>
    <row r="164" spans="9:10" x14ac:dyDescent="0.25">
      <c r="I164" s="3" t="s">
        <v>13</v>
      </c>
      <c r="J164" s="6">
        <v>24</v>
      </c>
    </row>
    <row r="165" spans="9:10" x14ac:dyDescent="0.25">
      <c r="I165" s="3" t="s">
        <v>13</v>
      </c>
      <c r="J165" s="6">
        <v>22</v>
      </c>
    </row>
    <row r="166" spans="9:10" x14ac:dyDescent="0.25">
      <c r="I166" s="3" t="s">
        <v>13</v>
      </c>
      <c r="J166" s="6">
        <v>24</v>
      </c>
    </row>
    <row r="167" spans="9:10" x14ac:dyDescent="0.25">
      <c r="I167" s="3" t="s">
        <v>13</v>
      </c>
      <c r="J167" s="6">
        <v>24</v>
      </c>
    </row>
    <row r="168" spans="9:10" x14ac:dyDescent="0.25">
      <c r="I168" s="3" t="s">
        <v>13</v>
      </c>
      <c r="J168" s="6">
        <v>27</v>
      </c>
    </row>
    <row r="169" spans="9:10" x14ac:dyDescent="0.25">
      <c r="I169" s="3" t="s">
        <v>13</v>
      </c>
      <c r="J169" s="6">
        <v>33</v>
      </c>
    </row>
    <row r="170" spans="9:10" x14ac:dyDescent="0.25">
      <c r="I170" s="3" t="s">
        <v>13</v>
      </c>
      <c r="J170" s="6">
        <v>27</v>
      </c>
    </row>
    <row r="171" spans="9:10" x14ac:dyDescent="0.25">
      <c r="I171" s="3" t="s">
        <v>13</v>
      </c>
      <c r="J171" s="6">
        <v>23</v>
      </c>
    </row>
    <row r="172" spans="9:10" x14ac:dyDescent="0.25">
      <c r="I172" s="3" t="s">
        <v>13</v>
      </c>
      <c r="J172" s="6">
        <v>20</v>
      </c>
    </row>
    <row r="173" spans="9:10" x14ac:dyDescent="0.25">
      <c r="I173" s="3" t="s">
        <v>13</v>
      </c>
      <c r="J173" s="6">
        <v>19</v>
      </c>
    </row>
    <row r="174" spans="9:10" x14ac:dyDescent="0.25">
      <c r="I174" s="3" t="s">
        <v>13</v>
      </c>
      <c r="J174" s="6">
        <v>33</v>
      </c>
    </row>
    <row r="175" spans="9:10" x14ac:dyDescent="0.25">
      <c r="I175" s="3" t="s">
        <v>13</v>
      </c>
      <c r="J175" s="6">
        <v>20</v>
      </c>
    </row>
    <row r="176" spans="9:10" x14ac:dyDescent="0.25">
      <c r="I176" s="3" t="s">
        <v>13</v>
      </c>
      <c r="J176" s="6">
        <v>17</v>
      </c>
    </row>
    <row r="177" spans="9:10" x14ac:dyDescent="0.25">
      <c r="I177" s="3" t="s">
        <v>13</v>
      </c>
      <c r="J177" s="6">
        <v>33</v>
      </c>
    </row>
    <row r="178" spans="9:10" x14ac:dyDescent="0.25">
      <c r="I178" s="3" t="s">
        <v>13</v>
      </c>
      <c r="J178" s="6">
        <v>16</v>
      </c>
    </row>
    <row r="179" spans="9:10" x14ac:dyDescent="0.25">
      <c r="I179" s="3" t="s">
        <v>13</v>
      </c>
      <c r="J179" s="6">
        <v>38</v>
      </c>
    </row>
    <row r="180" spans="9:10" x14ac:dyDescent="0.25">
      <c r="I180" s="3" t="s">
        <v>13</v>
      </c>
      <c r="J180" s="6">
        <v>20</v>
      </c>
    </row>
    <row r="181" spans="9:10" x14ac:dyDescent="0.25">
      <c r="I181" s="3" t="s">
        <v>13</v>
      </c>
      <c r="J181" s="6">
        <v>20</v>
      </c>
    </row>
    <row r="182" spans="9:10" x14ac:dyDescent="0.25">
      <c r="I182" s="3" t="s">
        <v>13</v>
      </c>
      <c r="J182" s="6">
        <v>26</v>
      </c>
    </row>
    <row r="183" spans="9:10" x14ac:dyDescent="0.25">
      <c r="I183" s="3" t="s">
        <v>13</v>
      </c>
      <c r="J183" s="6">
        <v>38</v>
      </c>
    </row>
    <row r="184" spans="9:10" x14ac:dyDescent="0.25">
      <c r="I184" s="3" t="s">
        <v>13</v>
      </c>
      <c r="J184" s="6">
        <v>18</v>
      </c>
    </row>
    <row r="185" spans="9:10" x14ac:dyDescent="0.25">
      <c r="I185" s="3" t="s">
        <v>13</v>
      </c>
      <c r="J185" s="6">
        <v>20</v>
      </c>
    </row>
    <row r="186" spans="9:10" x14ac:dyDescent="0.25">
      <c r="I186" s="3" t="s">
        <v>13</v>
      </c>
      <c r="J186" s="6">
        <v>24</v>
      </c>
    </row>
    <row r="187" spans="9:10" x14ac:dyDescent="0.25">
      <c r="I187" s="3" t="s">
        <v>13</v>
      </c>
      <c r="J187" s="6">
        <v>25</v>
      </c>
    </row>
    <row r="188" spans="9:10" x14ac:dyDescent="0.25">
      <c r="I188" s="3" t="s">
        <v>13</v>
      </c>
      <c r="J188" s="6">
        <v>38</v>
      </c>
    </row>
    <row r="189" spans="9:10" x14ac:dyDescent="0.25">
      <c r="I189" s="3" t="s">
        <v>13</v>
      </c>
      <c r="J189" s="6">
        <v>28</v>
      </c>
    </row>
    <row r="190" spans="9:10" x14ac:dyDescent="0.25">
      <c r="I190" s="3" t="s">
        <v>13</v>
      </c>
      <c r="J190" s="6">
        <v>20</v>
      </c>
    </row>
    <row r="191" spans="9:10" x14ac:dyDescent="0.25">
      <c r="I191" s="3" t="s">
        <v>13</v>
      </c>
      <c r="J191" s="6">
        <v>23</v>
      </c>
    </row>
    <row r="192" spans="9:10" x14ac:dyDescent="0.25">
      <c r="I192" s="3" t="s">
        <v>13</v>
      </c>
      <c r="J192" s="6">
        <v>23</v>
      </c>
    </row>
    <row r="193" spans="9:10" x14ac:dyDescent="0.25">
      <c r="I193" s="3" t="s">
        <v>13</v>
      </c>
      <c r="J193" s="6">
        <v>32</v>
      </c>
    </row>
    <row r="194" spans="9:10" x14ac:dyDescent="0.25">
      <c r="I194" s="3" t="s">
        <v>13</v>
      </c>
      <c r="J194" s="6">
        <v>15</v>
      </c>
    </row>
    <row r="195" spans="9:10" x14ac:dyDescent="0.25">
      <c r="I195" s="3" t="s">
        <v>13</v>
      </c>
      <c r="J195" s="6">
        <v>20</v>
      </c>
    </row>
    <row r="196" spans="9:10" x14ac:dyDescent="0.25">
      <c r="I196" s="3" t="s">
        <v>13</v>
      </c>
      <c r="J196" s="6">
        <v>27</v>
      </c>
    </row>
    <row r="197" spans="9:10" x14ac:dyDescent="0.25">
      <c r="I197" s="3" t="s">
        <v>13</v>
      </c>
      <c r="J197" s="6">
        <v>15</v>
      </c>
    </row>
    <row r="198" spans="9:10" x14ac:dyDescent="0.25">
      <c r="I198" s="3" t="s">
        <v>13</v>
      </c>
      <c r="J198" s="6">
        <v>38</v>
      </c>
    </row>
    <row r="199" spans="9:10" x14ac:dyDescent="0.25">
      <c r="I199" s="3" t="s">
        <v>13</v>
      </c>
      <c r="J199" s="6">
        <v>29</v>
      </c>
    </row>
    <row r="200" spans="9:10" x14ac:dyDescent="0.25">
      <c r="I200" s="3" t="s">
        <v>13</v>
      </c>
      <c r="J200" s="6">
        <v>32</v>
      </c>
    </row>
    <row r="201" spans="9:10" x14ac:dyDescent="0.25">
      <c r="I201" s="3" t="s">
        <v>13</v>
      </c>
      <c r="J201" s="6">
        <v>17</v>
      </c>
    </row>
    <row r="202" spans="9:10" x14ac:dyDescent="0.25">
      <c r="I202" s="3" t="s">
        <v>13</v>
      </c>
      <c r="J202" s="6">
        <v>28</v>
      </c>
    </row>
    <row r="203" spans="9:10" x14ac:dyDescent="0.25">
      <c r="I203" s="3" t="s">
        <v>13</v>
      </c>
      <c r="J203" s="6">
        <v>21</v>
      </c>
    </row>
    <row r="204" spans="9:10" x14ac:dyDescent="0.25">
      <c r="I204" s="3" t="s">
        <v>13</v>
      </c>
      <c r="J204" s="6">
        <v>15</v>
      </c>
    </row>
    <row r="205" spans="9:10" x14ac:dyDescent="0.25">
      <c r="I205" s="3" t="s">
        <v>13</v>
      </c>
      <c r="J205" s="6">
        <v>17</v>
      </c>
    </row>
    <row r="206" spans="9:10" x14ac:dyDescent="0.25">
      <c r="I206" s="3" t="s">
        <v>13</v>
      </c>
      <c r="J206" s="6">
        <v>27</v>
      </c>
    </row>
    <row r="207" spans="9:10" x14ac:dyDescent="0.25">
      <c r="I207" s="3" t="s">
        <v>13</v>
      </c>
      <c r="J207" s="6">
        <v>29</v>
      </c>
    </row>
    <row r="208" spans="9:10" x14ac:dyDescent="0.25">
      <c r="I208" s="3" t="s">
        <v>13</v>
      </c>
      <c r="J208" s="6">
        <v>34</v>
      </c>
    </row>
    <row r="209" spans="9:10" x14ac:dyDescent="0.25">
      <c r="I209" s="3" t="s">
        <v>13</v>
      </c>
      <c r="J209" s="6">
        <v>30</v>
      </c>
    </row>
    <row r="210" spans="9:10" x14ac:dyDescent="0.25">
      <c r="I210" s="3" t="s">
        <v>13</v>
      </c>
      <c r="J210" s="6">
        <v>20</v>
      </c>
    </row>
    <row r="211" spans="9:10" x14ac:dyDescent="0.25">
      <c r="I211" s="3" t="s">
        <v>13</v>
      </c>
      <c r="J211" s="6">
        <v>31</v>
      </c>
    </row>
    <row r="212" spans="9:10" x14ac:dyDescent="0.25">
      <c r="I212" s="3" t="s">
        <v>13</v>
      </c>
      <c r="J212" s="6">
        <v>33</v>
      </c>
    </row>
    <row r="213" spans="9:10" x14ac:dyDescent="0.25">
      <c r="I213" s="3" t="s">
        <v>13</v>
      </c>
      <c r="J213" s="6">
        <v>36</v>
      </c>
    </row>
    <row r="214" spans="9:10" x14ac:dyDescent="0.25">
      <c r="I214" s="3" t="s">
        <v>13</v>
      </c>
      <c r="J214" s="6">
        <v>32</v>
      </c>
    </row>
    <row r="215" spans="9:10" x14ac:dyDescent="0.25">
      <c r="I215" s="3" t="s">
        <v>13</v>
      </c>
      <c r="J215" s="6">
        <v>29</v>
      </c>
    </row>
    <row r="216" spans="9:10" x14ac:dyDescent="0.25">
      <c r="I216" s="3" t="s">
        <v>13</v>
      </c>
      <c r="J216" s="6">
        <v>27</v>
      </c>
    </row>
    <row r="217" spans="9:10" x14ac:dyDescent="0.25">
      <c r="I217" s="3" t="s">
        <v>13</v>
      </c>
      <c r="J217" s="6">
        <v>16</v>
      </c>
    </row>
    <row r="218" spans="9:10" x14ac:dyDescent="0.25">
      <c r="I218" s="3" t="s">
        <v>13</v>
      </c>
      <c r="J218" s="6">
        <v>23</v>
      </c>
    </row>
    <row r="219" spans="9:10" x14ac:dyDescent="0.25">
      <c r="I219" s="3" t="s">
        <v>13</v>
      </c>
      <c r="J219" s="6">
        <v>21</v>
      </c>
    </row>
    <row r="220" spans="9:10" x14ac:dyDescent="0.25">
      <c r="I220" s="3" t="s">
        <v>13</v>
      </c>
      <c r="J220" s="6">
        <v>36</v>
      </c>
    </row>
    <row r="221" spans="9:10" x14ac:dyDescent="0.25">
      <c r="I221" s="3" t="s">
        <v>13</v>
      </c>
      <c r="J221" s="6">
        <v>20</v>
      </c>
    </row>
    <row r="222" spans="9:10" x14ac:dyDescent="0.25">
      <c r="I222" s="3" t="s">
        <v>13</v>
      </c>
      <c r="J222" s="6">
        <v>24</v>
      </c>
    </row>
    <row r="223" spans="9:10" x14ac:dyDescent="0.25">
      <c r="I223" s="3" t="s">
        <v>13</v>
      </c>
      <c r="J223" s="6">
        <v>31</v>
      </c>
    </row>
    <row r="224" spans="9:10" x14ac:dyDescent="0.25">
      <c r="I224" s="3" t="s">
        <v>13</v>
      </c>
      <c r="J224" s="6">
        <v>27</v>
      </c>
    </row>
    <row r="225" spans="9:10" x14ac:dyDescent="0.25">
      <c r="I225" s="3" t="s">
        <v>13</v>
      </c>
      <c r="J225" s="6">
        <v>24</v>
      </c>
    </row>
    <row r="226" spans="9:10" x14ac:dyDescent="0.25">
      <c r="I226" s="3" t="s">
        <v>13</v>
      </c>
      <c r="J226" s="6">
        <v>18</v>
      </c>
    </row>
    <row r="227" spans="9:10" x14ac:dyDescent="0.25">
      <c r="I227" s="3" t="s">
        <v>13</v>
      </c>
      <c r="J227" s="6">
        <v>17</v>
      </c>
    </row>
    <row r="228" spans="9:10" x14ac:dyDescent="0.25">
      <c r="I228" s="3" t="s">
        <v>13</v>
      </c>
      <c r="J228" s="6">
        <v>18</v>
      </c>
    </row>
    <row r="229" spans="9:10" x14ac:dyDescent="0.25">
      <c r="I229" s="3" t="s">
        <v>13</v>
      </c>
      <c r="J229" s="6">
        <v>37</v>
      </c>
    </row>
    <row r="230" spans="9:10" x14ac:dyDescent="0.25">
      <c r="I230" s="3" t="s">
        <v>13</v>
      </c>
      <c r="J230" s="6">
        <v>23</v>
      </c>
    </row>
    <row r="231" spans="9:10" x14ac:dyDescent="0.25">
      <c r="I231" s="3" t="s">
        <v>13</v>
      </c>
      <c r="J231" s="6">
        <v>31</v>
      </c>
    </row>
    <row r="232" spans="9:10" x14ac:dyDescent="0.25">
      <c r="I232" s="3" t="s">
        <v>13</v>
      </c>
      <c r="J232" s="6">
        <v>24</v>
      </c>
    </row>
    <row r="233" spans="9:10" x14ac:dyDescent="0.25">
      <c r="I233" s="3" t="s">
        <v>13</v>
      </c>
      <c r="J233" s="6">
        <v>23</v>
      </c>
    </row>
    <row r="234" spans="9:10" x14ac:dyDescent="0.25">
      <c r="I234" s="3" t="s">
        <v>13</v>
      </c>
      <c r="J234" s="6">
        <v>33</v>
      </c>
    </row>
    <row r="235" spans="9:10" x14ac:dyDescent="0.25">
      <c r="I235" s="3" t="s">
        <v>13</v>
      </c>
      <c r="J235" s="6">
        <v>37</v>
      </c>
    </row>
    <row r="236" spans="9:10" x14ac:dyDescent="0.25">
      <c r="I236" s="3" t="s">
        <v>13</v>
      </c>
      <c r="J236" s="6">
        <v>28</v>
      </c>
    </row>
    <row r="237" spans="9:10" x14ac:dyDescent="0.25">
      <c r="I237" s="3" t="s">
        <v>13</v>
      </c>
      <c r="J237" s="6">
        <v>20</v>
      </c>
    </row>
    <row r="238" spans="9:10" x14ac:dyDescent="0.25">
      <c r="I238" s="3" t="s">
        <v>13</v>
      </c>
      <c r="J238" s="6">
        <v>36</v>
      </c>
    </row>
    <row r="239" spans="9:10" x14ac:dyDescent="0.25">
      <c r="I239" s="3" t="s">
        <v>13</v>
      </c>
      <c r="J239" s="6">
        <v>15</v>
      </c>
    </row>
    <row r="240" spans="9:10" x14ac:dyDescent="0.25">
      <c r="I240" s="3" t="s">
        <v>13</v>
      </c>
      <c r="J240" s="6">
        <v>20</v>
      </c>
    </row>
    <row r="241" spans="9:10" x14ac:dyDescent="0.25">
      <c r="I241" s="3" t="s">
        <v>13</v>
      </c>
      <c r="J241" s="6">
        <v>20</v>
      </c>
    </row>
    <row r="242" spans="9:10" x14ac:dyDescent="0.25">
      <c r="I242" s="3" t="s">
        <v>13</v>
      </c>
      <c r="J242" s="6">
        <v>19</v>
      </c>
    </row>
    <row r="243" spans="9:10" x14ac:dyDescent="0.25">
      <c r="I243" s="3" t="s">
        <v>13</v>
      </c>
      <c r="J243" s="6">
        <v>35</v>
      </c>
    </row>
    <row r="244" spans="9:10" x14ac:dyDescent="0.25">
      <c r="I244" s="3" t="s">
        <v>13</v>
      </c>
      <c r="J244" s="6">
        <v>17</v>
      </c>
    </row>
    <row r="245" spans="9:10" x14ac:dyDescent="0.25">
      <c r="I245" s="3" t="s">
        <v>13</v>
      </c>
      <c r="J245" s="6">
        <v>33</v>
      </c>
    </row>
    <row r="246" spans="9:10" x14ac:dyDescent="0.25">
      <c r="I246" s="3" t="s">
        <v>13</v>
      </c>
      <c r="J246" s="6">
        <v>22</v>
      </c>
    </row>
    <row r="247" spans="9:10" x14ac:dyDescent="0.25">
      <c r="I247" s="3" t="s">
        <v>13</v>
      </c>
      <c r="J247" s="6">
        <v>36</v>
      </c>
    </row>
    <row r="248" spans="9:10" x14ac:dyDescent="0.25">
      <c r="I248" s="3" t="s">
        <v>14</v>
      </c>
      <c r="J248" s="6">
        <v>28</v>
      </c>
    </row>
    <row r="249" spans="9:10" x14ac:dyDescent="0.25">
      <c r="I249" s="3" t="s">
        <v>14</v>
      </c>
      <c r="J249" s="6">
        <v>27</v>
      </c>
    </row>
    <row r="250" spans="9:10" x14ac:dyDescent="0.25">
      <c r="I250" s="3" t="s">
        <v>14</v>
      </c>
      <c r="J250" s="6">
        <v>38</v>
      </c>
    </row>
    <row r="251" spans="9:10" x14ac:dyDescent="0.25">
      <c r="I251" s="3" t="s">
        <v>14</v>
      </c>
      <c r="J251" s="6">
        <v>20</v>
      </c>
    </row>
    <row r="252" spans="9:10" x14ac:dyDescent="0.25">
      <c r="I252" s="3" t="s">
        <v>14</v>
      </c>
      <c r="J252" s="6">
        <v>37</v>
      </c>
    </row>
    <row r="253" spans="9:10" x14ac:dyDescent="0.25">
      <c r="I253" s="3" t="s">
        <v>14</v>
      </c>
      <c r="J253" s="6">
        <v>19</v>
      </c>
    </row>
    <row r="254" spans="9:10" x14ac:dyDescent="0.25">
      <c r="I254" s="3" t="s">
        <v>14</v>
      </c>
      <c r="J254" s="6">
        <v>37</v>
      </c>
    </row>
    <row r="255" spans="9:10" x14ac:dyDescent="0.25">
      <c r="I255" s="3" t="s">
        <v>14</v>
      </c>
      <c r="J255" s="6">
        <v>19</v>
      </c>
    </row>
    <row r="256" spans="9:10" x14ac:dyDescent="0.25">
      <c r="I256" s="3" t="s">
        <v>14</v>
      </c>
      <c r="J256" s="6">
        <v>23</v>
      </c>
    </row>
    <row r="257" spans="9:10" x14ac:dyDescent="0.25">
      <c r="I257" s="3" t="s">
        <v>14</v>
      </c>
      <c r="J257" s="6">
        <v>31</v>
      </c>
    </row>
    <row r="258" spans="9:10" x14ac:dyDescent="0.25">
      <c r="I258" s="3" t="s">
        <v>14</v>
      </c>
      <c r="J258" s="6">
        <v>27</v>
      </c>
    </row>
    <row r="259" spans="9:10" x14ac:dyDescent="0.25">
      <c r="I259" s="3" t="s">
        <v>14</v>
      </c>
      <c r="J259" s="6">
        <v>20</v>
      </c>
    </row>
    <row r="260" spans="9:10" x14ac:dyDescent="0.25">
      <c r="I260" s="3" t="s">
        <v>14</v>
      </c>
      <c r="J260" s="6">
        <v>36</v>
      </c>
    </row>
    <row r="261" spans="9:10" x14ac:dyDescent="0.25">
      <c r="I261" s="3" t="s">
        <v>14</v>
      </c>
      <c r="J261" s="6">
        <v>19</v>
      </c>
    </row>
    <row r="262" spans="9:10" x14ac:dyDescent="0.25">
      <c r="I262" s="3" t="s">
        <v>14</v>
      </c>
      <c r="J262" s="6">
        <v>22</v>
      </c>
    </row>
    <row r="263" spans="9:10" x14ac:dyDescent="0.25">
      <c r="I263" s="3" t="s">
        <v>14</v>
      </c>
      <c r="J263" s="6">
        <v>15</v>
      </c>
    </row>
    <row r="264" spans="9:10" x14ac:dyDescent="0.25">
      <c r="I264" s="3" t="s">
        <v>14</v>
      </c>
      <c r="J264" s="6">
        <v>34</v>
      </c>
    </row>
    <row r="265" spans="9:10" x14ac:dyDescent="0.25">
      <c r="I265" s="3" t="s">
        <v>14</v>
      </c>
      <c r="J265" s="6">
        <v>38</v>
      </c>
    </row>
    <row r="266" spans="9:10" x14ac:dyDescent="0.25">
      <c r="I266" s="3" t="s">
        <v>14</v>
      </c>
      <c r="J266" s="6">
        <v>36</v>
      </c>
    </row>
    <row r="267" spans="9:10" x14ac:dyDescent="0.25">
      <c r="I267" s="3" t="s">
        <v>14</v>
      </c>
      <c r="J267" s="6">
        <v>31</v>
      </c>
    </row>
    <row r="268" spans="9:10" x14ac:dyDescent="0.25">
      <c r="I268" s="3" t="s">
        <v>14</v>
      </c>
      <c r="J268" s="6">
        <v>15</v>
      </c>
    </row>
    <row r="269" spans="9:10" x14ac:dyDescent="0.25">
      <c r="I269" s="3" t="s">
        <v>14</v>
      </c>
      <c r="J269" s="6">
        <v>15</v>
      </c>
    </row>
    <row r="270" spans="9:10" x14ac:dyDescent="0.25">
      <c r="I270" s="3" t="s">
        <v>14</v>
      </c>
      <c r="J270" s="6">
        <v>34</v>
      </c>
    </row>
    <row r="271" spans="9:10" x14ac:dyDescent="0.25">
      <c r="I271" s="3" t="s">
        <v>14</v>
      </c>
      <c r="J271" s="6">
        <v>36</v>
      </c>
    </row>
    <row r="272" spans="9:10" x14ac:dyDescent="0.25">
      <c r="I272" s="3" t="s">
        <v>14</v>
      </c>
      <c r="J272" s="6">
        <v>37</v>
      </c>
    </row>
    <row r="273" spans="9:10" x14ac:dyDescent="0.25">
      <c r="I273" s="3" t="s">
        <v>14</v>
      </c>
      <c r="J273" s="6">
        <v>35</v>
      </c>
    </row>
    <row r="274" spans="9:10" x14ac:dyDescent="0.25">
      <c r="I274" s="3" t="s">
        <v>14</v>
      </c>
      <c r="J274" s="6">
        <v>21</v>
      </c>
    </row>
    <row r="275" spans="9:10" x14ac:dyDescent="0.25">
      <c r="I275" s="3" t="s">
        <v>14</v>
      </c>
      <c r="J275" s="6">
        <v>33</v>
      </c>
    </row>
    <row r="276" spans="9:10" x14ac:dyDescent="0.25">
      <c r="I276" s="3" t="s">
        <v>14</v>
      </c>
      <c r="J276" s="6">
        <v>29</v>
      </c>
    </row>
    <row r="277" spans="9:10" x14ac:dyDescent="0.25">
      <c r="I277" s="3" t="s">
        <v>14</v>
      </c>
      <c r="J277" s="6">
        <v>21</v>
      </c>
    </row>
    <row r="278" spans="9:10" x14ac:dyDescent="0.25">
      <c r="I278" s="3" t="s">
        <v>14</v>
      </c>
      <c r="J278" s="6">
        <v>38</v>
      </c>
    </row>
    <row r="279" spans="9:10" x14ac:dyDescent="0.25">
      <c r="I279" s="3" t="s">
        <v>14</v>
      </c>
      <c r="J279" s="6">
        <v>29</v>
      </c>
    </row>
    <row r="280" spans="9:10" x14ac:dyDescent="0.25">
      <c r="I280" s="3" t="s">
        <v>14</v>
      </c>
      <c r="J280" s="6">
        <v>18</v>
      </c>
    </row>
    <row r="281" spans="9:10" x14ac:dyDescent="0.25">
      <c r="I281" s="3" t="s">
        <v>14</v>
      </c>
      <c r="J281" s="6">
        <v>17</v>
      </c>
    </row>
    <row r="282" spans="9:10" x14ac:dyDescent="0.25">
      <c r="I282" s="3" t="s">
        <v>14</v>
      </c>
      <c r="J282" s="6">
        <v>34</v>
      </c>
    </row>
    <row r="283" spans="9:10" x14ac:dyDescent="0.25">
      <c r="I283" s="3" t="s">
        <v>14</v>
      </c>
      <c r="J283" s="6">
        <v>18</v>
      </c>
    </row>
    <row r="284" spans="9:10" x14ac:dyDescent="0.25">
      <c r="I284" s="3" t="s">
        <v>14</v>
      </c>
      <c r="J284" s="6">
        <v>33</v>
      </c>
    </row>
    <row r="285" spans="9:10" x14ac:dyDescent="0.25">
      <c r="I285" s="3" t="s">
        <v>14</v>
      </c>
      <c r="J285" s="6">
        <v>22</v>
      </c>
    </row>
    <row r="286" spans="9:10" x14ac:dyDescent="0.25">
      <c r="I286" s="3" t="s">
        <v>14</v>
      </c>
      <c r="J286" s="6">
        <v>24</v>
      </c>
    </row>
    <row r="287" spans="9:10" x14ac:dyDescent="0.25">
      <c r="I287" s="3" t="s">
        <v>14</v>
      </c>
      <c r="J287" s="6">
        <v>15</v>
      </c>
    </row>
    <row r="288" spans="9:10" x14ac:dyDescent="0.25">
      <c r="I288" s="3" t="s">
        <v>14</v>
      </c>
      <c r="J288" s="6">
        <v>26</v>
      </c>
    </row>
    <row r="289" spans="9:10" x14ac:dyDescent="0.25">
      <c r="I289" s="3" t="s">
        <v>14</v>
      </c>
      <c r="J289" s="6">
        <v>33</v>
      </c>
    </row>
    <row r="290" spans="9:10" x14ac:dyDescent="0.25">
      <c r="I290" s="3" t="s">
        <v>14</v>
      </c>
      <c r="J290" s="6">
        <v>32</v>
      </c>
    </row>
    <row r="291" spans="9:10" x14ac:dyDescent="0.25">
      <c r="I291" s="3" t="s">
        <v>14</v>
      </c>
      <c r="J291" s="6">
        <v>31</v>
      </c>
    </row>
    <row r="292" spans="9:10" x14ac:dyDescent="0.25">
      <c r="I292" s="3" t="s">
        <v>15</v>
      </c>
      <c r="J292" s="6">
        <v>37</v>
      </c>
    </row>
    <row r="293" spans="9:10" x14ac:dyDescent="0.25">
      <c r="I293" s="3" t="s">
        <v>15</v>
      </c>
      <c r="J293" s="6">
        <v>30</v>
      </c>
    </row>
    <row r="294" spans="9:10" x14ac:dyDescent="0.25">
      <c r="I294" s="3" t="s">
        <v>15</v>
      </c>
      <c r="J294" s="6">
        <v>16</v>
      </c>
    </row>
    <row r="295" spans="9:10" x14ac:dyDescent="0.25">
      <c r="I295" s="3" t="s">
        <v>15</v>
      </c>
      <c r="J295" s="6">
        <v>25</v>
      </c>
    </row>
    <row r="296" spans="9:10" x14ac:dyDescent="0.25">
      <c r="I296" s="3" t="s">
        <v>15</v>
      </c>
      <c r="J296" s="6">
        <v>18</v>
      </c>
    </row>
    <row r="297" spans="9:10" x14ac:dyDescent="0.25">
      <c r="I297" s="3" t="s">
        <v>15</v>
      </c>
      <c r="J297" s="6">
        <v>31</v>
      </c>
    </row>
    <row r="298" spans="9:10" x14ac:dyDescent="0.25">
      <c r="I298" s="3" t="s">
        <v>15</v>
      </c>
      <c r="J298" s="6">
        <v>31</v>
      </c>
    </row>
    <row r="299" spans="9:10" x14ac:dyDescent="0.25">
      <c r="I299" s="3" t="s">
        <v>15</v>
      </c>
      <c r="J299" s="6">
        <v>30</v>
      </c>
    </row>
    <row r="300" spans="9:10" x14ac:dyDescent="0.25">
      <c r="I300" s="3" t="s">
        <v>15</v>
      </c>
      <c r="J300" s="6">
        <v>26</v>
      </c>
    </row>
    <row r="301" spans="9:10" x14ac:dyDescent="0.25">
      <c r="I301" s="3" t="s">
        <v>15</v>
      </c>
      <c r="J301" s="6">
        <v>29</v>
      </c>
    </row>
    <row r="302" spans="9:10" x14ac:dyDescent="0.25">
      <c r="I302" s="3" t="s">
        <v>15</v>
      </c>
      <c r="J302" s="6">
        <v>19</v>
      </c>
    </row>
    <row r="303" spans="9:10" x14ac:dyDescent="0.25">
      <c r="I303" s="3" t="s">
        <v>15</v>
      </c>
      <c r="J303" s="6">
        <v>27</v>
      </c>
    </row>
    <row r="304" spans="9:10" x14ac:dyDescent="0.25">
      <c r="I304" s="3" t="s">
        <v>15</v>
      </c>
      <c r="J304" s="6">
        <v>25</v>
      </c>
    </row>
    <row r="305" spans="9:10" x14ac:dyDescent="0.25">
      <c r="I305" s="3" t="s">
        <v>15</v>
      </c>
      <c r="J305" s="6">
        <v>23</v>
      </c>
    </row>
    <row r="306" spans="9:10" x14ac:dyDescent="0.25">
      <c r="I306" s="3" t="s">
        <v>15</v>
      </c>
      <c r="J306" s="6">
        <v>38</v>
      </c>
    </row>
    <row r="307" spans="9:10" x14ac:dyDescent="0.25">
      <c r="I307" s="3" t="s">
        <v>15</v>
      </c>
      <c r="J307" s="6">
        <v>27</v>
      </c>
    </row>
    <row r="308" spans="9:10" x14ac:dyDescent="0.25">
      <c r="I308" s="3" t="s">
        <v>15</v>
      </c>
      <c r="J308" s="6">
        <v>30</v>
      </c>
    </row>
    <row r="309" spans="9:10" x14ac:dyDescent="0.25">
      <c r="I309" s="3" t="s">
        <v>15</v>
      </c>
      <c r="J309" s="6">
        <v>20</v>
      </c>
    </row>
    <row r="310" spans="9:10" x14ac:dyDescent="0.25">
      <c r="I310" s="3" t="s">
        <v>15</v>
      </c>
      <c r="J310" s="6">
        <v>25</v>
      </c>
    </row>
    <row r="311" spans="9:10" x14ac:dyDescent="0.25">
      <c r="I311" s="3" t="s">
        <v>15</v>
      </c>
      <c r="J311" s="6">
        <v>26</v>
      </c>
    </row>
    <row r="312" spans="9:10" x14ac:dyDescent="0.25">
      <c r="I312" s="3" t="s">
        <v>15</v>
      </c>
      <c r="J312" s="6">
        <v>38</v>
      </c>
    </row>
    <row r="313" spans="9:10" x14ac:dyDescent="0.25">
      <c r="I313" s="3" t="s">
        <v>15</v>
      </c>
      <c r="J313" s="6">
        <v>36</v>
      </c>
    </row>
    <row r="314" spans="9:10" x14ac:dyDescent="0.25">
      <c r="I314" s="3" t="s">
        <v>15</v>
      </c>
      <c r="J314" s="6">
        <v>16</v>
      </c>
    </row>
    <row r="315" spans="9:10" x14ac:dyDescent="0.25">
      <c r="I315" s="3" t="s">
        <v>15</v>
      </c>
      <c r="J315" s="6">
        <v>25</v>
      </c>
    </row>
    <row r="316" spans="9:10" x14ac:dyDescent="0.25">
      <c r="I316" s="3" t="s">
        <v>15</v>
      </c>
      <c r="J316" s="6">
        <v>28</v>
      </c>
    </row>
    <row r="317" spans="9:10" x14ac:dyDescent="0.25">
      <c r="I317" s="3" t="s">
        <v>15</v>
      </c>
      <c r="J317" s="6">
        <v>31</v>
      </c>
    </row>
    <row r="318" spans="9:10" x14ac:dyDescent="0.25">
      <c r="I318" s="3" t="s">
        <v>15</v>
      </c>
      <c r="J318" s="6">
        <v>37</v>
      </c>
    </row>
    <row r="319" spans="9:10" x14ac:dyDescent="0.25">
      <c r="I319" s="3" t="s">
        <v>15</v>
      </c>
      <c r="J319" s="6">
        <v>28</v>
      </c>
    </row>
    <row r="320" spans="9:10" x14ac:dyDescent="0.25">
      <c r="I320" s="3" t="s">
        <v>15</v>
      </c>
      <c r="J320" s="6">
        <v>34</v>
      </c>
    </row>
    <row r="321" spans="9:10" x14ac:dyDescent="0.25">
      <c r="I321" s="3" t="s">
        <v>15</v>
      </c>
      <c r="J321" s="6">
        <v>29</v>
      </c>
    </row>
    <row r="322" spans="9:10" x14ac:dyDescent="0.25">
      <c r="I322" s="3" t="s">
        <v>15</v>
      </c>
      <c r="J322" s="6">
        <v>37</v>
      </c>
    </row>
    <row r="323" spans="9:10" x14ac:dyDescent="0.25">
      <c r="I323" s="3" t="s">
        <v>15</v>
      </c>
      <c r="J323" s="6">
        <v>24</v>
      </c>
    </row>
    <row r="324" spans="9:10" x14ac:dyDescent="0.25">
      <c r="I324" s="3" t="s">
        <v>15</v>
      </c>
      <c r="J324" s="6">
        <v>30</v>
      </c>
    </row>
    <row r="325" spans="9:10" x14ac:dyDescent="0.25">
      <c r="I325" s="3" t="s">
        <v>15</v>
      </c>
      <c r="J325" s="6">
        <v>19</v>
      </c>
    </row>
    <row r="326" spans="9:10" x14ac:dyDescent="0.25">
      <c r="I326" s="3" t="s">
        <v>15</v>
      </c>
      <c r="J326" s="6">
        <v>38</v>
      </c>
    </row>
    <row r="327" spans="9:10" x14ac:dyDescent="0.25">
      <c r="I327" s="3" t="s">
        <v>15</v>
      </c>
      <c r="J327" s="6">
        <v>30</v>
      </c>
    </row>
    <row r="328" spans="9:10" x14ac:dyDescent="0.25">
      <c r="I328" s="3" t="s">
        <v>15</v>
      </c>
      <c r="J328" s="6">
        <v>18</v>
      </c>
    </row>
    <row r="329" spans="9:10" x14ac:dyDescent="0.25">
      <c r="I329" s="3" t="s">
        <v>15</v>
      </c>
      <c r="J329" s="6">
        <v>16</v>
      </c>
    </row>
    <row r="330" spans="9:10" x14ac:dyDescent="0.25">
      <c r="I330" s="3" t="s">
        <v>15</v>
      </c>
      <c r="J330" s="6">
        <v>18</v>
      </c>
    </row>
    <row r="331" spans="9:10" x14ac:dyDescent="0.25">
      <c r="I331" s="3" t="s">
        <v>15</v>
      </c>
      <c r="J331" s="6">
        <v>18</v>
      </c>
    </row>
    <row r="332" spans="9:10" x14ac:dyDescent="0.25">
      <c r="I332" s="3" t="s">
        <v>15</v>
      </c>
      <c r="J332" s="6">
        <v>31</v>
      </c>
    </row>
    <row r="333" spans="9:10" x14ac:dyDescent="0.25">
      <c r="I333" s="3" t="s">
        <v>15</v>
      </c>
      <c r="J333" s="6">
        <v>32</v>
      </c>
    </row>
    <row r="334" spans="9:10" x14ac:dyDescent="0.25">
      <c r="I334" s="3" t="s">
        <v>15</v>
      </c>
      <c r="J334" s="6">
        <v>19</v>
      </c>
    </row>
    <row r="335" spans="9:10" x14ac:dyDescent="0.25">
      <c r="I335" s="3" t="s">
        <v>15</v>
      </c>
      <c r="J335" s="6">
        <v>38</v>
      </c>
    </row>
    <row r="336" spans="9:10" x14ac:dyDescent="0.25">
      <c r="I336" s="3" t="s">
        <v>15</v>
      </c>
      <c r="J336" s="6">
        <v>20</v>
      </c>
    </row>
    <row r="337" spans="9:10" x14ac:dyDescent="0.25">
      <c r="I337" s="3" t="s">
        <v>15</v>
      </c>
      <c r="J337" s="6">
        <v>26</v>
      </c>
    </row>
    <row r="338" spans="9:10" x14ac:dyDescent="0.25">
      <c r="I338" s="3" t="s">
        <v>15</v>
      </c>
      <c r="J338" s="6">
        <v>28</v>
      </c>
    </row>
    <row r="339" spans="9:10" x14ac:dyDescent="0.25">
      <c r="I339" s="3" t="s">
        <v>15</v>
      </c>
      <c r="J339" s="6">
        <v>20</v>
      </c>
    </row>
    <row r="340" spans="9:10" x14ac:dyDescent="0.25">
      <c r="I340" s="3" t="s">
        <v>15</v>
      </c>
      <c r="J340" s="6">
        <v>23</v>
      </c>
    </row>
    <row r="341" spans="9:10" x14ac:dyDescent="0.25">
      <c r="I341" s="3" t="s">
        <v>15</v>
      </c>
      <c r="J341" s="6">
        <v>17</v>
      </c>
    </row>
    <row r="342" spans="9:10" x14ac:dyDescent="0.25">
      <c r="I342" s="3" t="s">
        <v>15</v>
      </c>
      <c r="J342" s="6">
        <v>28</v>
      </c>
    </row>
    <row r="343" spans="9:10" x14ac:dyDescent="0.25">
      <c r="I343" s="3" t="s">
        <v>15</v>
      </c>
      <c r="J343" s="6">
        <v>17</v>
      </c>
    </row>
    <row r="344" spans="9:10" x14ac:dyDescent="0.25">
      <c r="I344" s="3" t="s">
        <v>15</v>
      </c>
      <c r="J344" s="6">
        <v>33</v>
      </c>
    </row>
    <row r="345" spans="9:10" x14ac:dyDescent="0.25">
      <c r="I345" s="3" t="s">
        <v>15</v>
      </c>
      <c r="J345" s="6">
        <v>22</v>
      </c>
    </row>
    <row r="346" spans="9:10" x14ac:dyDescent="0.25">
      <c r="I346" s="3" t="s">
        <v>15</v>
      </c>
      <c r="J346" s="6">
        <v>21</v>
      </c>
    </row>
    <row r="347" spans="9:10" x14ac:dyDescent="0.25">
      <c r="I347" s="3" t="s">
        <v>15</v>
      </c>
      <c r="J347" s="6">
        <v>18</v>
      </c>
    </row>
    <row r="348" spans="9:10" x14ac:dyDescent="0.25">
      <c r="I348" s="3" t="s">
        <v>15</v>
      </c>
      <c r="J348" s="6">
        <v>21</v>
      </c>
    </row>
    <row r="349" spans="9:10" x14ac:dyDescent="0.25">
      <c r="I349" s="3" t="s">
        <v>15</v>
      </c>
      <c r="J349" s="6">
        <v>19</v>
      </c>
    </row>
    <row r="350" spans="9:10" x14ac:dyDescent="0.25">
      <c r="I350" s="3" t="s">
        <v>15</v>
      </c>
      <c r="J350" s="6">
        <v>17</v>
      </c>
    </row>
    <row r="351" spans="9:10" x14ac:dyDescent="0.25">
      <c r="I351" s="3" t="s">
        <v>15</v>
      </c>
      <c r="J351" s="6">
        <v>28</v>
      </c>
    </row>
    <row r="352" spans="9:10" x14ac:dyDescent="0.25">
      <c r="I352" s="3" t="s">
        <v>15</v>
      </c>
      <c r="J352" s="6">
        <v>36</v>
      </c>
    </row>
    <row r="353" spans="9:10" x14ac:dyDescent="0.25">
      <c r="I353" s="3" t="s">
        <v>15</v>
      </c>
      <c r="J353" s="6">
        <v>26</v>
      </c>
    </row>
    <row r="354" spans="9:10" x14ac:dyDescent="0.25">
      <c r="I354" s="3" t="s">
        <v>15</v>
      </c>
      <c r="J354" s="6">
        <v>24</v>
      </c>
    </row>
    <row r="355" spans="9:10" x14ac:dyDescent="0.25">
      <c r="I355" s="3" t="s">
        <v>15</v>
      </c>
      <c r="J355" s="6">
        <v>20</v>
      </c>
    </row>
    <row r="356" spans="9:10" x14ac:dyDescent="0.25">
      <c r="I356" s="3" t="s">
        <v>15</v>
      </c>
      <c r="J356" s="6">
        <v>34</v>
      </c>
    </row>
    <row r="357" spans="9:10" x14ac:dyDescent="0.25">
      <c r="I357" s="3" t="s">
        <v>15</v>
      </c>
      <c r="J357" s="6">
        <v>21</v>
      </c>
    </row>
    <row r="358" spans="9:10" x14ac:dyDescent="0.25">
      <c r="I358" s="3" t="s">
        <v>15</v>
      </c>
      <c r="J358" s="6">
        <v>25</v>
      </c>
    </row>
    <row r="359" spans="9:10" x14ac:dyDescent="0.25">
      <c r="I359" s="3" t="s">
        <v>15</v>
      </c>
      <c r="J359" s="6">
        <v>38</v>
      </c>
    </row>
    <row r="360" spans="9:10" x14ac:dyDescent="0.25">
      <c r="I360" s="3" t="s">
        <v>15</v>
      </c>
      <c r="J360" s="6">
        <v>31</v>
      </c>
    </row>
    <row r="361" spans="9:10" x14ac:dyDescent="0.25">
      <c r="I361" s="3" t="s">
        <v>15</v>
      </c>
      <c r="J361" s="6">
        <v>16</v>
      </c>
    </row>
    <row r="362" spans="9:10" x14ac:dyDescent="0.25">
      <c r="I362" s="3" t="s">
        <v>15</v>
      </c>
      <c r="J362" s="6">
        <v>27</v>
      </c>
    </row>
    <row r="363" spans="9:10" x14ac:dyDescent="0.25">
      <c r="I363" s="3" t="s">
        <v>15</v>
      </c>
      <c r="J363" s="6">
        <v>25</v>
      </c>
    </row>
    <row r="364" spans="9:10" x14ac:dyDescent="0.25">
      <c r="I364" s="3" t="s">
        <v>15</v>
      </c>
      <c r="J364" s="6">
        <v>17</v>
      </c>
    </row>
    <row r="365" spans="9:10" x14ac:dyDescent="0.25">
      <c r="I365" s="3" t="s">
        <v>15</v>
      </c>
      <c r="J365" s="6">
        <v>22</v>
      </c>
    </row>
    <row r="366" spans="9:10" x14ac:dyDescent="0.25">
      <c r="I366" s="3" t="s">
        <v>15</v>
      </c>
      <c r="J366" s="6">
        <v>37</v>
      </c>
    </row>
    <row r="367" spans="9:10" x14ac:dyDescent="0.25">
      <c r="I367" s="3" t="s">
        <v>15</v>
      </c>
      <c r="J367" s="6">
        <v>23</v>
      </c>
    </row>
    <row r="368" spans="9:10" x14ac:dyDescent="0.25">
      <c r="I368" s="3" t="s">
        <v>15</v>
      </c>
      <c r="J368" s="6">
        <v>29</v>
      </c>
    </row>
    <row r="369" spans="9:10" x14ac:dyDescent="0.25">
      <c r="I369" s="3" t="s">
        <v>15</v>
      </c>
      <c r="J369" s="6">
        <v>28</v>
      </c>
    </row>
    <row r="370" spans="9:10" x14ac:dyDescent="0.25">
      <c r="I370" s="3" t="s">
        <v>15</v>
      </c>
      <c r="J370" s="6">
        <v>26</v>
      </c>
    </row>
    <row r="371" spans="9:10" x14ac:dyDescent="0.25">
      <c r="I371" s="3" t="s">
        <v>15</v>
      </c>
      <c r="J371" s="6">
        <v>35</v>
      </c>
    </row>
    <row r="372" spans="9:10" x14ac:dyDescent="0.25">
      <c r="I372" s="3" t="s">
        <v>15</v>
      </c>
      <c r="J372" s="6">
        <v>36</v>
      </c>
    </row>
    <row r="373" spans="9:10" x14ac:dyDescent="0.25">
      <c r="I373" s="3" t="s">
        <v>15</v>
      </c>
      <c r="J373" s="6">
        <v>28</v>
      </c>
    </row>
    <row r="374" spans="9:10" x14ac:dyDescent="0.25">
      <c r="I374" s="3" t="s">
        <v>15</v>
      </c>
      <c r="J374" s="6">
        <v>37</v>
      </c>
    </row>
    <row r="375" spans="9:10" x14ac:dyDescent="0.25">
      <c r="I375" s="3" t="s">
        <v>15</v>
      </c>
      <c r="J375" s="6">
        <v>32</v>
      </c>
    </row>
    <row r="376" spans="9:10" x14ac:dyDescent="0.25">
      <c r="I376" s="3" t="s">
        <v>15</v>
      </c>
      <c r="J376" s="6">
        <v>33</v>
      </c>
    </row>
  </sheetData>
  <sortState ref="P2:P376">
    <sortCondition ref="P1"/>
  </sortState>
  <mergeCells count="2">
    <mergeCell ref="A1:D3"/>
    <mergeCell ref="I1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02"/>
  <sheetViews>
    <sheetView tabSelected="1" workbookViewId="0">
      <selection activeCell="N2" sqref="N2"/>
    </sheetView>
  </sheetViews>
  <sheetFormatPr defaultRowHeight="15" x14ac:dyDescent="0.25"/>
  <sheetData>
    <row r="1" spans="1:8" x14ac:dyDescent="0.25">
      <c r="A1" s="7" t="s">
        <v>16</v>
      </c>
    </row>
    <row r="2" spans="1:8" x14ac:dyDescent="0.25">
      <c r="A2">
        <v>37</v>
      </c>
      <c r="D2" s="25"/>
    </row>
    <row r="3" spans="1:8" x14ac:dyDescent="0.25">
      <c r="A3">
        <v>54</v>
      </c>
      <c r="D3" s="25"/>
    </row>
    <row r="4" spans="1:8" x14ac:dyDescent="0.25">
      <c r="A4">
        <v>63</v>
      </c>
      <c r="D4" s="25"/>
    </row>
    <row r="5" spans="1:8" x14ac:dyDescent="0.25">
      <c r="A5">
        <v>59</v>
      </c>
      <c r="D5" s="25"/>
    </row>
    <row r="6" spans="1:8" x14ac:dyDescent="0.25">
      <c r="A6">
        <v>78</v>
      </c>
      <c r="D6" s="25"/>
    </row>
    <row r="7" spans="1:8" x14ac:dyDescent="0.25">
      <c r="A7">
        <v>60</v>
      </c>
      <c r="D7" s="25"/>
      <c r="G7" s="25"/>
      <c r="H7" s="25"/>
    </row>
    <row r="8" spans="1:8" x14ac:dyDescent="0.25">
      <c r="A8">
        <v>73</v>
      </c>
      <c r="D8" s="25"/>
    </row>
    <row r="9" spans="1:8" x14ac:dyDescent="0.25">
      <c r="A9">
        <v>48</v>
      </c>
      <c r="D9" s="25"/>
    </row>
    <row r="10" spans="1:8" x14ac:dyDescent="0.25">
      <c r="A10">
        <v>35</v>
      </c>
      <c r="D10" s="25"/>
    </row>
    <row r="11" spans="1:8" x14ac:dyDescent="0.25">
      <c r="A11">
        <v>31</v>
      </c>
      <c r="D11" s="25"/>
    </row>
    <row r="12" spans="1:8" x14ac:dyDescent="0.25">
      <c r="A12">
        <v>49</v>
      </c>
      <c r="D12" s="25"/>
    </row>
    <row r="13" spans="1:8" x14ac:dyDescent="0.25">
      <c r="A13">
        <v>72</v>
      </c>
      <c r="D13" s="25"/>
    </row>
    <row r="14" spans="1:8" x14ac:dyDescent="0.25">
      <c r="A14">
        <v>68</v>
      </c>
      <c r="D14" s="25"/>
    </row>
    <row r="15" spans="1:8" x14ac:dyDescent="0.25">
      <c r="A15">
        <v>62</v>
      </c>
      <c r="D15" s="25"/>
    </row>
    <row r="16" spans="1:8" x14ac:dyDescent="0.25">
      <c r="A16">
        <v>39</v>
      </c>
      <c r="D16" s="25"/>
    </row>
    <row r="17" spans="1:4" x14ac:dyDescent="0.25">
      <c r="A17">
        <v>62</v>
      </c>
      <c r="D17" s="25"/>
    </row>
    <row r="18" spans="1:4" x14ac:dyDescent="0.25">
      <c r="A18">
        <v>71</v>
      </c>
      <c r="D18" s="25"/>
    </row>
    <row r="19" spans="1:4" x14ac:dyDescent="0.25">
      <c r="A19">
        <v>70</v>
      </c>
      <c r="D19" s="25"/>
    </row>
    <row r="20" spans="1:4" x14ac:dyDescent="0.25">
      <c r="A20">
        <v>61</v>
      </c>
      <c r="D20" s="25"/>
    </row>
    <row r="21" spans="1:4" x14ac:dyDescent="0.25">
      <c r="A21">
        <v>77</v>
      </c>
      <c r="D21" s="25"/>
    </row>
    <row r="22" spans="1:4" x14ac:dyDescent="0.25">
      <c r="A22">
        <v>54</v>
      </c>
      <c r="D22" s="25"/>
    </row>
    <row r="23" spans="1:4" x14ac:dyDescent="0.25">
      <c r="A23">
        <v>36</v>
      </c>
      <c r="D23" s="25"/>
    </row>
    <row r="24" spans="1:4" x14ac:dyDescent="0.25">
      <c r="A24">
        <v>78</v>
      </c>
      <c r="D24" s="25"/>
    </row>
    <row r="25" spans="1:4" x14ac:dyDescent="0.25">
      <c r="A25">
        <v>35</v>
      </c>
      <c r="D25" s="25"/>
    </row>
    <row r="26" spans="1:4" x14ac:dyDescent="0.25">
      <c r="A26">
        <v>61</v>
      </c>
      <c r="D26" s="25"/>
    </row>
    <row r="27" spans="1:4" x14ac:dyDescent="0.25">
      <c r="A27">
        <v>69</v>
      </c>
      <c r="D27" s="25"/>
    </row>
    <row r="28" spans="1:4" x14ac:dyDescent="0.25">
      <c r="A28">
        <v>61</v>
      </c>
      <c r="D28" s="25"/>
    </row>
    <row r="29" spans="1:4" x14ac:dyDescent="0.25">
      <c r="A29">
        <v>56</v>
      </c>
      <c r="D29" s="25"/>
    </row>
    <row r="30" spans="1:4" x14ac:dyDescent="0.25">
      <c r="A30">
        <v>38</v>
      </c>
      <c r="D30" s="25"/>
    </row>
    <row r="31" spans="1:4" x14ac:dyDescent="0.25">
      <c r="A31">
        <v>50</v>
      </c>
      <c r="D31" s="25"/>
    </row>
    <row r="32" spans="1:4" x14ac:dyDescent="0.25">
      <c r="A32">
        <v>65</v>
      </c>
      <c r="D32" s="25"/>
    </row>
    <row r="33" spans="1:4" x14ac:dyDescent="0.25">
      <c r="A33">
        <v>58</v>
      </c>
      <c r="D33" s="25"/>
    </row>
    <row r="34" spans="1:4" x14ac:dyDescent="0.25">
      <c r="A34">
        <v>70</v>
      </c>
      <c r="D34" s="25"/>
    </row>
    <row r="35" spans="1:4" x14ac:dyDescent="0.25">
      <c r="A35">
        <v>66</v>
      </c>
      <c r="D35" s="25"/>
    </row>
    <row r="36" spans="1:4" x14ac:dyDescent="0.25">
      <c r="A36">
        <v>63</v>
      </c>
      <c r="D36" s="25"/>
    </row>
    <row r="37" spans="1:4" x14ac:dyDescent="0.25">
      <c r="A37">
        <v>59</v>
      </c>
      <c r="D37" s="25"/>
    </row>
    <row r="38" spans="1:4" x14ac:dyDescent="0.25">
      <c r="A38">
        <v>64</v>
      </c>
      <c r="D38" s="25"/>
    </row>
    <row r="39" spans="1:4" x14ac:dyDescent="0.25">
      <c r="A39">
        <v>31</v>
      </c>
      <c r="D39" s="25"/>
    </row>
    <row r="40" spans="1:4" x14ac:dyDescent="0.25">
      <c r="A40">
        <v>76</v>
      </c>
      <c r="D40" s="25"/>
    </row>
    <row r="41" spans="1:4" x14ac:dyDescent="0.25">
      <c r="A41">
        <v>47</v>
      </c>
      <c r="D41" s="25"/>
    </row>
    <row r="42" spans="1:4" x14ac:dyDescent="0.25">
      <c r="A42">
        <v>63</v>
      </c>
      <c r="D42" s="25"/>
    </row>
    <row r="43" spans="1:4" x14ac:dyDescent="0.25">
      <c r="A43">
        <v>34</v>
      </c>
      <c r="D43" s="25"/>
    </row>
    <row r="44" spans="1:4" x14ac:dyDescent="0.25">
      <c r="A44">
        <v>44</v>
      </c>
      <c r="D44" s="25"/>
    </row>
    <row r="45" spans="1:4" x14ac:dyDescent="0.25">
      <c r="A45">
        <v>57</v>
      </c>
      <c r="D45" s="25"/>
    </row>
    <row r="46" spans="1:4" x14ac:dyDescent="0.25">
      <c r="A46">
        <v>57</v>
      </c>
      <c r="D46" s="25"/>
    </row>
    <row r="47" spans="1:4" x14ac:dyDescent="0.25">
      <c r="A47">
        <v>49</v>
      </c>
      <c r="D47" s="25"/>
    </row>
    <row r="48" spans="1:4" x14ac:dyDescent="0.25">
      <c r="A48">
        <v>31</v>
      </c>
      <c r="D48" s="25"/>
    </row>
    <row r="49" spans="1:4" x14ac:dyDescent="0.25">
      <c r="A49">
        <v>52</v>
      </c>
      <c r="D49" s="25"/>
    </row>
    <row r="50" spans="1:4" x14ac:dyDescent="0.25">
      <c r="A50">
        <v>59</v>
      </c>
      <c r="D50" s="25"/>
    </row>
    <row r="51" spans="1:4" x14ac:dyDescent="0.25">
      <c r="A51">
        <v>70</v>
      </c>
      <c r="D51" s="25"/>
    </row>
    <row r="52" spans="1:4" x14ac:dyDescent="0.25">
      <c r="A52">
        <v>64</v>
      </c>
      <c r="D52" s="25"/>
    </row>
    <row r="53" spans="1:4" x14ac:dyDescent="0.25">
      <c r="A53">
        <v>30</v>
      </c>
      <c r="D53" s="25"/>
    </row>
    <row r="54" spans="1:4" x14ac:dyDescent="0.25">
      <c r="A54">
        <v>39</v>
      </c>
      <c r="D54" s="25"/>
    </row>
    <row r="55" spans="1:4" x14ac:dyDescent="0.25">
      <c r="A55">
        <v>34</v>
      </c>
      <c r="D55" s="25"/>
    </row>
    <row r="56" spans="1:4" x14ac:dyDescent="0.25">
      <c r="A56">
        <v>49</v>
      </c>
      <c r="D56" s="25"/>
    </row>
    <row r="57" spans="1:4" x14ac:dyDescent="0.25">
      <c r="A57">
        <v>79</v>
      </c>
      <c r="D57" s="25"/>
    </row>
    <row r="58" spans="1:4" x14ac:dyDescent="0.25">
      <c r="A58">
        <v>46</v>
      </c>
      <c r="D58" s="25"/>
    </row>
    <row r="59" spans="1:4" x14ac:dyDescent="0.25">
      <c r="A59">
        <v>53</v>
      </c>
      <c r="D59" s="25"/>
    </row>
    <row r="60" spans="1:4" x14ac:dyDescent="0.25">
      <c r="A60">
        <v>36</v>
      </c>
      <c r="D60" s="25"/>
    </row>
    <row r="61" spans="1:4" x14ac:dyDescent="0.25">
      <c r="A61">
        <v>78</v>
      </c>
      <c r="D61" s="25"/>
    </row>
    <row r="62" spans="1:4" x14ac:dyDescent="0.25">
      <c r="A62">
        <v>29</v>
      </c>
      <c r="D62" s="25"/>
    </row>
    <row r="63" spans="1:4" x14ac:dyDescent="0.25">
      <c r="A63">
        <v>59</v>
      </c>
      <c r="D63" s="25"/>
    </row>
    <row r="64" spans="1:4" x14ac:dyDescent="0.25">
      <c r="A64">
        <v>61</v>
      </c>
      <c r="D64" s="25"/>
    </row>
    <row r="65" spans="1:4" x14ac:dyDescent="0.25">
      <c r="A65">
        <v>45</v>
      </c>
      <c r="D65" s="25"/>
    </row>
    <row r="66" spans="1:4" x14ac:dyDescent="0.25">
      <c r="A66">
        <v>65</v>
      </c>
      <c r="D66" s="25"/>
    </row>
    <row r="67" spans="1:4" x14ac:dyDescent="0.25">
      <c r="A67">
        <v>70</v>
      </c>
      <c r="D67" s="25"/>
    </row>
    <row r="68" spans="1:4" x14ac:dyDescent="0.25">
      <c r="A68">
        <v>77</v>
      </c>
      <c r="D68" s="25"/>
    </row>
    <row r="69" spans="1:4" x14ac:dyDescent="0.25">
      <c r="A69">
        <v>65</v>
      </c>
      <c r="D69" s="25"/>
    </row>
    <row r="70" spans="1:4" x14ac:dyDescent="0.25">
      <c r="A70">
        <v>52</v>
      </c>
      <c r="D70" s="25"/>
    </row>
    <row r="71" spans="1:4" x14ac:dyDescent="0.25">
      <c r="A71">
        <v>74</v>
      </c>
      <c r="D71" s="25"/>
    </row>
    <row r="72" spans="1:4" x14ac:dyDescent="0.25">
      <c r="A72">
        <v>62</v>
      </c>
      <c r="D72" s="25"/>
    </row>
    <row r="73" spans="1:4" x14ac:dyDescent="0.25">
      <c r="A73">
        <v>58</v>
      </c>
      <c r="D73" s="25"/>
    </row>
    <row r="74" spans="1:4" x14ac:dyDescent="0.25">
      <c r="A74">
        <v>27</v>
      </c>
      <c r="D74" s="25"/>
    </row>
    <row r="75" spans="1:4" x14ac:dyDescent="0.25">
      <c r="A75">
        <v>64</v>
      </c>
      <c r="D75" s="25"/>
    </row>
    <row r="76" spans="1:4" x14ac:dyDescent="0.25">
      <c r="A76">
        <v>43</v>
      </c>
      <c r="D76" s="25"/>
    </row>
    <row r="77" spans="1:4" x14ac:dyDescent="0.25">
      <c r="A77">
        <v>62</v>
      </c>
      <c r="D77" s="25"/>
    </row>
    <row r="78" spans="1:4" x14ac:dyDescent="0.25">
      <c r="A78">
        <v>50</v>
      </c>
      <c r="D78" s="25"/>
    </row>
    <row r="79" spans="1:4" x14ac:dyDescent="0.25">
      <c r="A79">
        <v>41</v>
      </c>
      <c r="D79" s="25"/>
    </row>
    <row r="80" spans="1:4" x14ac:dyDescent="0.25">
      <c r="A80">
        <v>72</v>
      </c>
      <c r="D80" s="25"/>
    </row>
    <row r="81" spans="1:4" x14ac:dyDescent="0.25">
      <c r="A81">
        <v>38</v>
      </c>
      <c r="D81" s="25"/>
    </row>
    <row r="82" spans="1:4" x14ac:dyDescent="0.25">
      <c r="A82">
        <v>43</v>
      </c>
      <c r="D82" s="25"/>
    </row>
    <row r="83" spans="1:4" x14ac:dyDescent="0.25">
      <c r="A83">
        <v>51</v>
      </c>
      <c r="D83" s="25"/>
    </row>
    <row r="84" spans="1:4" x14ac:dyDescent="0.25">
      <c r="A84">
        <v>62</v>
      </c>
      <c r="D84" s="25"/>
    </row>
    <row r="85" spans="1:4" x14ac:dyDescent="0.25">
      <c r="A85">
        <v>50</v>
      </c>
      <c r="D85" s="25"/>
    </row>
    <row r="86" spans="1:4" x14ac:dyDescent="0.25">
      <c r="A86">
        <v>60</v>
      </c>
      <c r="D86" s="25"/>
    </row>
    <row r="87" spans="1:4" x14ac:dyDescent="0.25">
      <c r="A87">
        <v>76</v>
      </c>
      <c r="D87" s="25"/>
    </row>
    <row r="88" spans="1:4" x14ac:dyDescent="0.25">
      <c r="A88">
        <v>56</v>
      </c>
      <c r="D88" s="25"/>
    </row>
    <row r="89" spans="1:4" x14ac:dyDescent="0.25">
      <c r="A89">
        <v>53</v>
      </c>
      <c r="D89" s="25"/>
    </row>
    <row r="90" spans="1:4" x14ac:dyDescent="0.25">
      <c r="A90">
        <v>42</v>
      </c>
      <c r="D90" s="25"/>
    </row>
    <row r="91" spans="1:4" x14ac:dyDescent="0.25">
      <c r="A91">
        <v>59</v>
      </c>
      <c r="D91" s="25"/>
    </row>
    <row r="92" spans="1:4" x14ac:dyDescent="0.25">
      <c r="A92">
        <v>62</v>
      </c>
      <c r="D92" s="25"/>
    </row>
    <row r="93" spans="1:4" x14ac:dyDescent="0.25">
      <c r="A93">
        <v>79</v>
      </c>
      <c r="D93" s="25"/>
    </row>
    <row r="94" spans="1:4" x14ac:dyDescent="0.25">
      <c r="A94">
        <v>40</v>
      </c>
      <c r="D94" s="25"/>
    </row>
    <row r="95" spans="1:4" x14ac:dyDescent="0.25">
      <c r="A95">
        <v>55</v>
      </c>
      <c r="D95" s="25"/>
    </row>
    <row r="96" spans="1:4" x14ac:dyDescent="0.25">
      <c r="A96">
        <v>57</v>
      </c>
      <c r="D96" s="25"/>
    </row>
    <row r="97" spans="1:4" x14ac:dyDescent="0.25">
      <c r="A97">
        <v>48</v>
      </c>
      <c r="D97" s="25"/>
    </row>
    <row r="98" spans="1:4" x14ac:dyDescent="0.25">
      <c r="A98">
        <v>34</v>
      </c>
      <c r="D98" s="25"/>
    </row>
    <row r="99" spans="1:4" x14ac:dyDescent="0.25">
      <c r="A99">
        <v>31</v>
      </c>
      <c r="D99" s="25"/>
    </row>
    <row r="100" spans="1:4" x14ac:dyDescent="0.25">
      <c r="A100">
        <v>27</v>
      </c>
      <c r="D100" s="25"/>
    </row>
    <row r="101" spans="1:4" x14ac:dyDescent="0.25">
      <c r="A101">
        <v>39</v>
      </c>
      <c r="D101" s="25"/>
    </row>
    <row r="102" spans="1:4" x14ac:dyDescent="0.25">
      <c r="D102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C2:D42"/>
  <sheetViews>
    <sheetView topLeftCell="A21" workbookViewId="0">
      <selection activeCell="D42" sqref="D42"/>
    </sheetView>
  </sheetViews>
  <sheetFormatPr defaultRowHeight="15" x14ac:dyDescent="0.25"/>
  <cols>
    <col min="3" max="3" width="14.7109375" bestFit="1" customWidth="1"/>
    <col min="4" max="4" width="15.28515625" bestFit="1" customWidth="1"/>
  </cols>
  <sheetData>
    <row r="2" spans="3:4" ht="15.75" thickBot="1" x14ac:dyDescent="0.3">
      <c r="C2" s="8" t="s">
        <v>17</v>
      </c>
      <c r="D2" s="9" t="s">
        <v>18</v>
      </c>
    </row>
    <row r="3" spans="3:4" x14ac:dyDescent="0.25">
      <c r="C3" s="3" t="s">
        <v>20</v>
      </c>
      <c r="D3" s="6">
        <v>70</v>
      </c>
    </row>
    <row r="4" spans="3:4" x14ac:dyDescent="0.25">
      <c r="C4" s="3" t="s">
        <v>20</v>
      </c>
      <c r="D4" s="6">
        <v>84</v>
      </c>
    </row>
    <row r="5" spans="3:4" x14ac:dyDescent="0.25">
      <c r="C5" s="3" t="s">
        <v>20</v>
      </c>
      <c r="D5" s="6">
        <v>88</v>
      </c>
    </row>
    <row r="6" spans="3:4" x14ac:dyDescent="0.25">
      <c r="C6" s="3" t="s">
        <v>20</v>
      </c>
      <c r="D6" s="6">
        <v>106</v>
      </c>
    </row>
    <row r="7" spans="3:4" x14ac:dyDescent="0.25">
      <c r="C7" s="3" t="s">
        <v>20</v>
      </c>
      <c r="D7" s="6">
        <v>110</v>
      </c>
    </row>
    <row r="8" spans="3:4" x14ac:dyDescent="0.25">
      <c r="C8" s="3" t="s">
        <v>20</v>
      </c>
      <c r="D8" s="6">
        <v>60</v>
      </c>
    </row>
    <row r="9" spans="3:4" x14ac:dyDescent="0.25">
      <c r="C9" s="3" t="s">
        <v>20</v>
      </c>
      <c r="D9" s="6">
        <v>104</v>
      </c>
    </row>
    <row r="10" spans="3:4" x14ac:dyDescent="0.25">
      <c r="C10" s="3" t="s">
        <v>20</v>
      </c>
      <c r="D10" s="6">
        <v>98</v>
      </c>
    </row>
    <row r="11" spans="3:4" x14ac:dyDescent="0.25">
      <c r="C11" s="3" t="s">
        <v>20</v>
      </c>
      <c r="D11" s="6">
        <v>106</v>
      </c>
    </row>
    <row r="12" spans="3:4" x14ac:dyDescent="0.25">
      <c r="C12" s="3" t="s">
        <v>20</v>
      </c>
      <c r="D12" s="6">
        <v>88</v>
      </c>
    </row>
    <row r="13" spans="3:4" x14ac:dyDescent="0.25">
      <c r="C13" s="3" t="s">
        <v>21</v>
      </c>
      <c r="D13" s="6">
        <v>77</v>
      </c>
    </row>
    <row r="14" spans="3:4" x14ac:dyDescent="0.25">
      <c r="C14" s="3" t="s">
        <v>21</v>
      </c>
      <c r="D14" s="6">
        <v>115</v>
      </c>
    </row>
    <row r="15" spans="3:4" x14ac:dyDescent="0.25">
      <c r="C15" s="3" t="s">
        <v>21</v>
      </c>
      <c r="D15" s="6">
        <v>86</v>
      </c>
    </row>
    <row r="16" spans="3:4" x14ac:dyDescent="0.25">
      <c r="C16" s="3" t="s">
        <v>21</v>
      </c>
      <c r="D16" s="6">
        <v>81</v>
      </c>
    </row>
    <row r="17" spans="3:4" x14ac:dyDescent="0.25">
      <c r="C17" s="3" t="s">
        <v>21</v>
      </c>
      <c r="D17" s="6">
        <v>116</v>
      </c>
    </row>
    <row r="18" spans="3:4" x14ac:dyDescent="0.25">
      <c r="C18" s="3" t="s">
        <v>21</v>
      </c>
      <c r="D18" s="6">
        <v>108</v>
      </c>
    </row>
    <row r="19" spans="3:4" x14ac:dyDescent="0.25">
      <c r="C19" s="3" t="s">
        <v>21</v>
      </c>
      <c r="D19" s="6">
        <v>78</v>
      </c>
    </row>
    <row r="20" spans="3:4" x14ac:dyDescent="0.25">
      <c r="C20" s="3" t="s">
        <v>21</v>
      </c>
      <c r="D20" s="6">
        <v>92</v>
      </c>
    </row>
    <row r="21" spans="3:4" x14ac:dyDescent="0.25">
      <c r="C21" s="3" t="s">
        <v>21</v>
      </c>
      <c r="D21" s="6">
        <v>104</v>
      </c>
    </row>
    <row r="22" spans="3:4" x14ac:dyDescent="0.25">
      <c r="C22" s="3" t="s">
        <v>21</v>
      </c>
      <c r="D22" s="6">
        <v>107</v>
      </c>
    </row>
    <row r="23" spans="3:4" x14ac:dyDescent="0.25">
      <c r="C23" s="3" t="s">
        <v>19</v>
      </c>
      <c r="D23" s="6">
        <v>120</v>
      </c>
    </row>
    <row r="24" spans="3:4" x14ac:dyDescent="0.25">
      <c r="C24" s="3" t="s">
        <v>19</v>
      </c>
      <c r="D24" s="6">
        <v>70</v>
      </c>
    </row>
    <row r="25" spans="3:4" x14ac:dyDescent="0.25">
      <c r="C25" s="3" t="s">
        <v>19</v>
      </c>
      <c r="D25" s="6">
        <v>80</v>
      </c>
    </row>
    <row r="26" spans="3:4" x14ac:dyDescent="0.25">
      <c r="C26" s="3" t="s">
        <v>19</v>
      </c>
      <c r="D26" s="6">
        <v>80</v>
      </c>
    </row>
    <row r="27" spans="3:4" x14ac:dyDescent="0.25">
      <c r="C27" s="3" t="s">
        <v>19</v>
      </c>
      <c r="D27" s="6">
        <v>71</v>
      </c>
    </row>
    <row r="28" spans="3:4" x14ac:dyDescent="0.25">
      <c r="C28" s="3" t="s">
        <v>19</v>
      </c>
      <c r="D28" s="6">
        <v>62</v>
      </c>
    </row>
    <row r="29" spans="3:4" x14ac:dyDescent="0.25">
      <c r="C29" s="3" t="s">
        <v>19</v>
      </c>
      <c r="D29" s="6">
        <v>116</v>
      </c>
    </row>
    <row r="30" spans="3:4" x14ac:dyDescent="0.25">
      <c r="C30" s="3" t="s">
        <v>19</v>
      </c>
      <c r="D30" s="6">
        <v>99</v>
      </c>
    </row>
    <row r="31" spans="3:4" x14ac:dyDescent="0.25">
      <c r="C31" s="3" t="s">
        <v>19</v>
      </c>
      <c r="D31" s="6">
        <v>105</v>
      </c>
    </row>
    <row r="32" spans="3:4" x14ac:dyDescent="0.25">
      <c r="C32" s="3" t="s">
        <v>19</v>
      </c>
      <c r="D32" s="6">
        <v>72</v>
      </c>
    </row>
    <row r="33" spans="3:4" x14ac:dyDescent="0.25">
      <c r="C33" s="3" t="s">
        <v>22</v>
      </c>
      <c r="D33" s="6">
        <v>92</v>
      </c>
    </row>
    <row r="34" spans="3:4" x14ac:dyDescent="0.25">
      <c r="C34" s="3" t="s">
        <v>22</v>
      </c>
      <c r="D34" s="6">
        <v>69</v>
      </c>
    </row>
    <row r="35" spans="3:4" x14ac:dyDescent="0.25">
      <c r="C35" s="3" t="s">
        <v>22</v>
      </c>
      <c r="D35" s="6">
        <v>120</v>
      </c>
    </row>
    <row r="36" spans="3:4" x14ac:dyDescent="0.25">
      <c r="C36" s="3" t="s">
        <v>22</v>
      </c>
      <c r="D36" s="6">
        <v>104</v>
      </c>
    </row>
    <row r="37" spans="3:4" x14ac:dyDescent="0.25">
      <c r="C37" s="3" t="s">
        <v>22</v>
      </c>
      <c r="D37" s="6">
        <v>120</v>
      </c>
    </row>
    <row r="38" spans="3:4" x14ac:dyDescent="0.25">
      <c r="C38" s="3" t="s">
        <v>22</v>
      </c>
      <c r="D38" s="6">
        <v>95</v>
      </c>
    </row>
    <row r="39" spans="3:4" x14ac:dyDescent="0.25">
      <c r="C39" s="3" t="s">
        <v>22</v>
      </c>
      <c r="D39" s="6">
        <v>66</v>
      </c>
    </row>
    <row r="40" spans="3:4" x14ac:dyDescent="0.25">
      <c r="C40" s="3" t="s">
        <v>22</v>
      </c>
      <c r="D40" s="6">
        <v>89</v>
      </c>
    </row>
    <row r="41" spans="3:4" x14ac:dyDescent="0.25">
      <c r="C41" s="3" t="s">
        <v>22</v>
      </c>
      <c r="D41" s="6">
        <v>98</v>
      </c>
    </row>
    <row r="42" spans="3:4" x14ac:dyDescent="0.25">
      <c r="C42" s="3" t="s">
        <v>22</v>
      </c>
      <c r="D42" s="6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2:Q31"/>
  <sheetViews>
    <sheetView topLeftCell="B1" workbookViewId="0">
      <selection activeCell="O1" sqref="O1"/>
    </sheetView>
  </sheetViews>
  <sheetFormatPr defaultRowHeight="15" x14ac:dyDescent="0.25"/>
  <cols>
    <col min="2" max="2" width="13.5703125" bestFit="1" customWidth="1"/>
    <col min="10" max="10" width="11.28515625" bestFit="1" customWidth="1"/>
    <col min="11" max="11" width="20.140625" bestFit="1" customWidth="1"/>
    <col min="12" max="12" width="14.85546875" bestFit="1" customWidth="1"/>
    <col min="15" max="15" width="13.5703125" bestFit="1" customWidth="1"/>
  </cols>
  <sheetData>
    <row r="2" spans="2:12" x14ac:dyDescent="0.25">
      <c r="B2" s="24" t="s">
        <v>8</v>
      </c>
      <c r="C2" s="24" t="s">
        <v>32</v>
      </c>
      <c r="D2" s="24"/>
      <c r="E2" s="24"/>
      <c r="F2" s="24"/>
      <c r="G2" s="24"/>
      <c r="J2" s="12" t="s">
        <v>34</v>
      </c>
      <c r="K2" s="12" t="s">
        <v>32</v>
      </c>
      <c r="L2" s="12" t="s">
        <v>33</v>
      </c>
    </row>
    <row r="3" spans="2:12" x14ac:dyDescent="0.25">
      <c r="B3" s="24"/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J3" s="11"/>
      <c r="K3" s="11"/>
      <c r="L3" s="11"/>
    </row>
    <row r="4" spans="2:12" x14ac:dyDescent="0.25">
      <c r="B4" s="3" t="s">
        <v>23</v>
      </c>
      <c r="C4" s="13">
        <v>0.3</v>
      </c>
      <c r="D4" s="13">
        <v>0.4</v>
      </c>
      <c r="E4" s="13">
        <v>0.7</v>
      </c>
      <c r="F4" s="13">
        <v>0.3</v>
      </c>
      <c r="G4" s="13">
        <v>0.2</v>
      </c>
      <c r="J4" s="11"/>
      <c r="K4" s="11"/>
      <c r="L4" s="11"/>
    </row>
    <row r="5" spans="2:12" x14ac:dyDescent="0.25">
      <c r="B5" s="3" t="s">
        <v>24</v>
      </c>
      <c r="C5" s="13">
        <v>0.4</v>
      </c>
      <c r="D5" s="14">
        <v>0.4</v>
      </c>
      <c r="E5" s="13">
        <v>0.6</v>
      </c>
      <c r="F5" s="13">
        <v>0.3</v>
      </c>
      <c r="G5" s="13">
        <v>0.2</v>
      </c>
      <c r="J5" s="11"/>
      <c r="K5" s="11"/>
      <c r="L5" s="11"/>
    </row>
    <row r="6" spans="2:12" x14ac:dyDescent="0.25">
      <c r="B6" s="3" t="s">
        <v>25</v>
      </c>
      <c r="C6" s="13">
        <v>0.4</v>
      </c>
      <c r="D6" s="13">
        <v>0.5</v>
      </c>
      <c r="E6" s="13">
        <v>0.6</v>
      </c>
      <c r="F6" s="14">
        <v>0.3</v>
      </c>
      <c r="G6" s="13">
        <v>0.4</v>
      </c>
      <c r="J6" s="11"/>
      <c r="K6" s="11"/>
      <c r="L6" s="11"/>
    </row>
    <row r="7" spans="2:12" x14ac:dyDescent="0.25">
      <c r="B7" s="3" t="s">
        <v>26</v>
      </c>
      <c r="C7" s="13">
        <v>0.3</v>
      </c>
      <c r="D7" s="13">
        <v>0.5</v>
      </c>
      <c r="E7" s="13">
        <v>0.7</v>
      </c>
      <c r="F7" s="13">
        <v>0.3</v>
      </c>
      <c r="G7" s="13">
        <v>0.3</v>
      </c>
      <c r="J7" s="11"/>
      <c r="K7" s="11"/>
      <c r="L7" s="11"/>
    </row>
    <row r="8" spans="2:12" x14ac:dyDescent="0.25">
      <c r="J8" s="11"/>
      <c r="K8" s="11"/>
      <c r="L8" s="11"/>
    </row>
    <row r="9" spans="2:12" x14ac:dyDescent="0.25">
      <c r="J9" s="11"/>
      <c r="K9" s="11"/>
      <c r="L9" s="11"/>
    </row>
    <row r="10" spans="2:12" x14ac:dyDescent="0.25">
      <c r="J10" s="11"/>
      <c r="K10" s="11"/>
      <c r="L10" s="11"/>
    </row>
    <row r="11" spans="2:12" x14ac:dyDescent="0.25">
      <c r="J11" s="11"/>
      <c r="K11" s="11"/>
      <c r="L11" s="11"/>
    </row>
    <row r="12" spans="2:12" x14ac:dyDescent="0.25">
      <c r="J12" s="11"/>
      <c r="K12" s="11"/>
      <c r="L12" s="11"/>
    </row>
    <row r="13" spans="2:12" x14ac:dyDescent="0.25">
      <c r="J13" s="11"/>
      <c r="K13" s="11"/>
      <c r="L13" s="11"/>
    </row>
    <row r="14" spans="2:12" x14ac:dyDescent="0.25">
      <c r="J14" s="11"/>
      <c r="K14" s="11"/>
      <c r="L14" s="11"/>
    </row>
    <row r="15" spans="2:12" x14ac:dyDescent="0.25">
      <c r="J15" s="11"/>
      <c r="K15" s="11"/>
      <c r="L15" s="11"/>
    </row>
    <row r="16" spans="2:12" x14ac:dyDescent="0.25">
      <c r="J16" s="11"/>
      <c r="K16" s="11"/>
      <c r="L16" s="11"/>
    </row>
    <row r="17" spans="10:17" x14ac:dyDescent="0.25">
      <c r="J17" s="11"/>
      <c r="K17" s="11"/>
      <c r="L17" s="11"/>
    </row>
    <row r="18" spans="10:17" x14ac:dyDescent="0.25">
      <c r="J18" s="11"/>
      <c r="K18" s="11"/>
      <c r="L18" s="11"/>
    </row>
    <row r="19" spans="10:17" x14ac:dyDescent="0.25">
      <c r="J19" s="11"/>
      <c r="K19" s="11"/>
      <c r="L19" s="11"/>
    </row>
    <row r="20" spans="10:17" x14ac:dyDescent="0.25">
      <c r="J20" s="11"/>
      <c r="K20" s="11"/>
      <c r="L20" s="11"/>
    </row>
    <row r="21" spans="10:17" x14ac:dyDescent="0.25">
      <c r="J21" s="11"/>
      <c r="K21" s="11"/>
      <c r="L21" s="11"/>
    </row>
    <row r="22" spans="10:17" x14ac:dyDescent="0.25">
      <c r="J22" s="11"/>
      <c r="K22" s="11"/>
      <c r="L22" s="11"/>
    </row>
    <row r="24" spans="10:17" x14ac:dyDescent="0.25">
      <c r="Q24" s="14"/>
    </row>
    <row r="25" spans="10:17" x14ac:dyDescent="0.25">
      <c r="Q25" s="13"/>
    </row>
    <row r="26" spans="10:17" x14ac:dyDescent="0.25">
      <c r="Q26" s="13"/>
    </row>
    <row r="27" spans="10:17" x14ac:dyDescent="0.25">
      <c r="Q27" s="13"/>
    </row>
    <row r="28" spans="10:17" x14ac:dyDescent="0.25">
      <c r="Q28" s="13"/>
    </row>
    <row r="29" spans="10:17" x14ac:dyDescent="0.25">
      <c r="Q29" s="13"/>
    </row>
    <row r="30" spans="10:17" x14ac:dyDescent="0.25">
      <c r="Q30" s="13"/>
    </row>
    <row r="31" spans="10:17" x14ac:dyDescent="0.25">
      <c r="Q31" s="14"/>
    </row>
  </sheetData>
  <mergeCells count="2">
    <mergeCell ref="B2:B3"/>
    <mergeCell ref="C2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E248"/>
  <sheetViews>
    <sheetView workbookViewId="0">
      <selection activeCell="B1" sqref="B1"/>
    </sheetView>
  </sheetViews>
  <sheetFormatPr defaultRowHeight="15" x14ac:dyDescent="0.25"/>
  <sheetData>
    <row r="1" spans="2:5" x14ac:dyDescent="0.25">
      <c r="B1" s="22" t="s">
        <v>37</v>
      </c>
      <c r="C1" s="22" t="s">
        <v>35</v>
      </c>
      <c r="D1" s="22" t="s">
        <v>38</v>
      </c>
      <c r="E1" s="22" t="s">
        <v>36</v>
      </c>
    </row>
    <row r="2" spans="2:5" x14ac:dyDescent="0.25">
      <c r="B2">
        <v>31.02</v>
      </c>
      <c r="C2" s="15">
        <v>4.57</v>
      </c>
      <c r="D2">
        <f>LN(B2)</f>
        <v>3.4346321577483927</v>
      </c>
      <c r="E2">
        <f>LN(C2)</f>
        <v>1.5195132049061133</v>
      </c>
    </row>
    <row r="3" spans="2:5" x14ac:dyDescent="0.25">
      <c r="B3">
        <v>33.020000000000003</v>
      </c>
      <c r="C3" s="15">
        <v>14.07</v>
      </c>
      <c r="D3">
        <f t="shared" ref="D3:E66" si="0">LN(B3)</f>
        <v>3.497113438491982</v>
      </c>
      <c r="E3">
        <f t="shared" si="0"/>
        <v>2.6440448711262978</v>
      </c>
    </row>
    <row r="4" spans="2:5" x14ac:dyDescent="0.25">
      <c r="B4">
        <v>30.82</v>
      </c>
      <c r="C4" s="15">
        <v>15.94</v>
      </c>
      <c r="D4">
        <f t="shared" si="0"/>
        <v>3.4281638298919699</v>
      </c>
      <c r="E4">
        <f t="shared" si="0"/>
        <v>2.7688316733620688</v>
      </c>
    </row>
    <row r="5" spans="2:5" x14ac:dyDescent="0.25">
      <c r="B5">
        <v>36.409999999999997</v>
      </c>
      <c r="C5" s="15">
        <v>12.17</v>
      </c>
      <c r="D5">
        <f t="shared" si="0"/>
        <v>3.5948434621873422</v>
      </c>
      <c r="E5">
        <f t="shared" si="0"/>
        <v>2.4989739069994359</v>
      </c>
    </row>
    <row r="6" spans="2:5" x14ac:dyDescent="0.25">
      <c r="B6">
        <v>35.89</v>
      </c>
      <c r="C6" s="15">
        <v>11.12</v>
      </c>
      <c r="D6">
        <f t="shared" si="0"/>
        <v>3.5804587051595158</v>
      </c>
      <c r="E6">
        <f t="shared" si="0"/>
        <v>2.4087452888224363</v>
      </c>
    </row>
    <row r="7" spans="2:5" x14ac:dyDescent="0.25">
      <c r="B7">
        <v>29.89</v>
      </c>
      <c r="C7" s="15">
        <v>11.8</v>
      </c>
      <c r="D7">
        <f t="shared" si="0"/>
        <v>3.3975239762958465</v>
      </c>
      <c r="E7">
        <f t="shared" si="0"/>
        <v>2.4680995314716192</v>
      </c>
    </row>
    <row r="8" spans="2:5" x14ac:dyDescent="0.25">
      <c r="B8">
        <v>42.44</v>
      </c>
      <c r="C8" s="15">
        <v>8.84</v>
      </c>
      <c r="D8">
        <f t="shared" si="0"/>
        <v>3.7480913137457823</v>
      </c>
      <c r="E8">
        <f t="shared" si="0"/>
        <v>2.1792868766495519</v>
      </c>
    </row>
    <row r="9" spans="2:5" x14ac:dyDescent="0.25">
      <c r="B9">
        <v>34.43</v>
      </c>
      <c r="C9" s="15">
        <v>11.06</v>
      </c>
      <c r="D9">
        <f t="shared" si="0"/>
        <v>3.5389282773504322</v>
      </c>
      <c r="E9">
        <f t="shared" si="0"/>
        <v>2.403334996094189</v>
      </c>
    </row>
    <row r="10" spans="2:5" x14ac:dyDescent="0.25">
      <c r="B10">
        <v>26.01</v>
      </c>
      <c r="C10" s="15">
        <v>11.26</v>
      </c>
      <c r="D10">
        <f t="shared" si="0"/>
        <v>3.2584810794605601</v>
      </c>
      <c r="E10">
        <f t="shared" si="0"/>
        <v>2.4212566227115442</v>
      </c>
    </row>
    <row r="11" spans="2:5" x14ac:dyDescent="0.25">
      <c r="B11">
        <v>34.03</v>
      </c>
      <c r="C11" s="15">
        <v>10.02</v>
      </c>
      <c r="D11">
        <f t="shared" si="0"/>
        <v>3.5272424885128144</v>
      </c>
      <c r="E11">
        <f t="shared" si="0"/>
        <v>2.3045830956567186</v>
      </c>
    </row>
    <row r="12" spans="2:5" x14ac:dyDescent="0.25">
      <c r="B12">
        <v>39.090000000000003</v>
      </c>
      <c r="C12" s="15">
        <v>10.14</v>
      </c>
      <c r="D12">
        <f t="shared" si="0"/>
        <v>3.6658666798048634</v>
      </c>
      <c r="E12">
        <f t="shared" si="0"/>
        <v>2.3164879981630371</v>
      </c>
    </row>
    <row r="13" spans="2:5" x14ac:dyDescent="0.25">
      <c r="B13">
        <v>38.18</v>
      </c>
      <c r="C13" s="15">
        <v>9.7200000000000006</v>
      </c>
      <c r="D13">
        <f t="shared" si="0"/>
        <v>3.6423118182976015</v>
      </c>
      <c r="E13">
        <f t="shared" si="0"/>
        <v>2.2741856184723477</v>
      </c>
    </row>
    <row r="14" spans="2:5" x14ac:dyDescent="0.25">
      <c r="B14">
        <v>31.6</v>
      </c>
      <c r="C14" s="15">
        <v>11.11</v>
      </c>
      <c r="D14">
        <f t="shared" si="0"/>
        <v>3.4531571205928664</v>
      </c>
      <c r="E14">
        <f t="shared" si="0"/>
        <v>2.4078456036515385</v>
      </c>
    </row>
    <row r="15" spans="2:5" x14ac:dyDescent="0.25">
      <c r="B15">
        <v>38.49</v>
      </c>
      <c r="C15" s="15">
        <v>9.0500000000000007</v>
      </c>
      <c r="D15">
        <f t="shared" si="0"/>
        <v>3.6503984672956546</v>
      </c>
      <c r="E15">
        <f t="shared" si="0"/>
        <v>2.2027647577118348</v>
      </c>
    </row>
    <row r="16" spans="2:5" x14ac:dyDescent="0.25">
      <c r="B16">
        <v>46.22</v>
      </c>
      <c r="C16" s="15">
        <v>9.6199999999999992</v>
      </c>
      <c r="D16">
        <f t="shared" si="0"/>
        <v>3.8334126048462345</v>
      </c>
      <c r="E16">
        <f t="shared" si="0"/>
        <v>2.2638442646776151</v>
      </c>
    </row>
    <row r="17" spans="2:5" x14ac:dyDescent="0.25">
      <c r="B17">
        <v>38.01</v>
      </c>
      <c r="C17" s="15">
        <v>9.3699999999999992</v>
      </c>
      <c r="D17">
        <f t="shared" si="0"/>
        <v>3.6378492830011573</v>
      </c>
      <c r="E17">
        <f t="shared" si="0"/>
        <v>2.2375130962503307</v>
      </c>
    </row>
    <row r="18" spans="2:5" x14ac:dyDescent="0.25">
      <c r="B18">
        <v>32.36</v>
      </c>
      <c r="C18" s="15">
        <v>8.6999999999999993</v>
      </c>
      <c r="D18">
        <f t="shared" si="0"/>
        <v>3.4769230921902907</v>
      </c>
      <c r="E18">
        <f t="shared" si="0"/>
        <v>2.1633230256605378</v>
      </c>
    </row>
    <row r="19" spans="2:5" x14ac:dyDescent="0.25">
      <c r="B19">
        <v>32.619999999999997</v>
      </c>
      <c r="C19" s="15">
        <v>8.91</v>
      </c>
      <c r="D19">
        <f t="shared" si="0"/>
        <v>3.4849255971928677</v>
      </c>
      <c r="E19">
        <f t="shared" si="0"/>
        <v>2.187174241482718</v>
      </c>
    </row>
    <row r="20" spans="2:5" x14ac:dyDescent="0.25">
      <c r="B20">
        <v>31.92</v>
      </c>
      <c r="C20" s="15">
        <v>10.69</v>
      </c>
      <c r="D20">
        <f t="shared" si="0"/>
        <v>3.4632327725816081</v>
      </c>
      <c r="E20">
        <f t="shared" si="0"/>
        <v>2.3693087250369538</v>
      </c>
    </row>
    <row r="21" spans="2:5" x14ac:dyDescent="0.25">
      <c r="B21">
        <v>31.71</v>
      </c>
      <c r="C21" s="15">
        <v>8.57</v>
      </c>
      <c r="D21">
        <f t="shared" si="0"/>
        <v>3.4566320885502559</v>
      </c>
      <c r="E21">
        <f t="shared" si="0"/>
        <v>2.1482677326096886</v>
      </c>
    </row>
    <row r="22" spans="2:5" x14ac:dyDescent="0.25">
      <c r="B22">
        <v>25.31</v>
      </c>
      <c r="C22" s="15">
        <v>7.87</v>
      </c>
      <c r="D22">
        <f t="shared" si="0"/>
        <v>3.2311995745570328</v>
      </c>
      <c r="E22">
        <f t="shared" si="0"/>
        <v>2.0630580624293118</v>
      </c>
    </row>
    <row r="23" spans="2:5" x14ac:dyDescent="0.25">
      <c r="B23">
        <v>42.33</v>
      </c>
      <c r="C23" s="15">
        <v>9.44</v>
      </c>
      <c r="D23">
        <f t="shared" si="0"/>
        <v>3.7454960545328322</v>
      </c>
      <c r="E23">
        <f t="shared" si="0"/>
        <v>2.244955980157409</v>
      </c>
    </row>
    <row r="24" spans="2:5" x14ac:dyDescent="0.25">
      <c r="B24">
        <v>32.619999999999997</v>
      </c>
      <c r="C24" s="15">
        <v>8.66</v>
      </c>
      <c r="D24">
        <f t="shared" si="0"/>
        <v>3.4849255971928677</v>
      </c>
      <c r="E24">
        <f t="shared" si="0"/>
        <v>2.1587147225743437</v>
      </c>
    </row>
    <row r="25" spans="2:5" x14ac:dyDescent="0.25">
      <c r="B25">
        <v>42.34</v>
      </c>
      <c r="C25" s="15">
        <v>7.74</v>
      </c>
      <c r="D25">
        <f t="shared" si="0"/>
        <v>3.7457322657067191</v>
      </c>
      <c r="E25">
        <f t="shared" si="0"/>
        <v>2.046401687601636</v>
      </c>
    </row>
    <row r="26" spans="2:5" x14ac:dyDescent="0.25">
      <c r="B26">
        <v>32.380000000000003</v>
      </c>
      <c r="C26" s="15">
        <v>9.08</v>
      </c>
      <c r="D26">
        <f t="shared" si="0"/>
        <v>3.477540948249489</v>
      </c>
      <c r="E26">
        <f t="shared" si="0"/>
        <v>2.2060741926132019</v>
      </c>
    </row>
    <row r="27" spans="2:5" x14ac:dyDescent="0.25">
      <c r="B27">
        <v>30.12</v>
      </c>
      <c r="C27" s="15">
        <v>7.28</v>
      </c>
      <c r="D27">
        <f t="shared" si="0"/>
        <v>3.4051894029316929</v>
      </c>
      <c r="E27">
        <f t="shared" si="0"/>
        <v>1.9851308622085946</v>
      </c>
    </row>
    <row r="28" spans="2:5" x14ac:dyDescent="0.25">
      <c r="B28">
        <v>36.44</v>
      </c>
      <c r="C28" s="15">
        <v>9.69</v>
      </c>
      <c r="D28">
        <f t="shared" si="0"/>
        <v>3.5956670723917576</v>
      </c>
      <c r="E28">
        <f t="shared" si="0"/>
        <v>2.2710944259026746</v>
      </c>
    </row>
    <row r="29" spans="2:5" x14ac:dyDescent="0.25">
      <c r="B29">
        <v>33.380000000000003</v>
      </c>
      <c r="C29" s="15">
        <v>9</v>
      </c>
      <c r="D29">
        <f t="shared" si="0"/>
        <v>3.5079569182336892</v>
      </c>
      <c r="E29">
        <f t="shared" si="0"/>
        <v>2.1972245773362196</v>
      </c>
    </row>
    <row r="30" spans="2:5" x14ac:dyDescent="0.25">
      <c r="B30">
        <v>32.869999999999997</v>
      </c>
      <c r="C30" s="15">
        <v>4.8499999999999996</v>
      </c>
      <c r="D30">
        <f t="shared" si="0"/>
        <v>3.4925603876761278</v>
      </c>
      <c r="E30">
        <f t="shared" si="0"/>
        <v>1.5789787049493917</v>
      </c>
    </row>
    <row r="31" spans="2:5" x14ac:dyDescent="0.25">
      <c r="B31">
        <v>28.77</v>
      </c>
      <c r="C31" s="15">
        <v>7.34</v>
      </c>
      <c r="D31">
        <f t="shared" si="0"/>
        <v>3.3593331775634567</v>
      </c>
      <c r="E31">
        <f t="shared" si="0"/>
        <v>1.9933388426264242</v>
      </c>
    </row>
    <row r="32" spans="2:5" x14ac:dyDescent="0.25">
      <c r="B32">
        <v>38.25</v>
      </c>
      <c r="C32" s="15">
        <v>6.31</v>
      </c>
      <c r="D32">
        <f t="shared" si="0"/>
        <v>3.6441435602725449</v>
      </c>
      <c r="E32">
        <f t="shared" si="0"/>
        <v>1.8421356765531218</v>
      </c>
    </row>
    <row r="33" spans="2:5" x14ac:dyDescent="0.25">
      <c r="B33">
        <v>45.83</v>
      </c>
      <c r="C33" s="15">
        <v>6.64</v>
      </c>
      <c r="D33">
        <f t="shared" si="0"/>
        <v>3.8249388985210326</v>
      </c>
      <c r="E33">
        <f t="shared" si="0"/>
        <v>1.8931119634883424</v>
      </c>
    </row>
    <row r="34" spans="2:5" x14ac:dyDescent="0.25">
      <c r="B34">
        <v>29.62</v>
      </c>
      <c r="C34" s="15">
        <v>8.99</v>
      </c>
      <c r="D34">
        <f t="shared" si="0"/>
        <v>3.3884498088396526</v>
      </c>
      <c r="E34">
        <f t="shared" si="0"/>
        <v>2.1961128484835291</v>
      </c>
    </row>
    <row r="35" spans="2:5" x14ac:dyDescent="0.25">
      <c r="B35">
        <v>31.5</v>
      </c>
      <c r="C35" s="15">
        <v>8.41</v>
      </c>
      <c r="D35">
        <f t="shared" si="0"/>
        <v>3.4499875458315872</v>
      </c>
      <c r="E35">
        <f t="shared" si="0"/>
        <v>2.1294214739848565</v>
      </c>
    </row>
    <row r="36" spans="2:5" x14ac:dyDescent="0.25">
      <c r="B36">
        <v>36.299999999999997</v>
      </c>
      <c r="C36" s="15">
        <v>5.96</v>
      </c>
      <c r="D36">
        <f t="shared" si="0"/>
        <v>3.591817741270805</v>
      </c>
      <c r="E36">
        <f t="shared" si="0"/>
        <v>1.7850704810772584</v>
      </c>
    </row>
    <row r="37" spans="2:5" x14ac:dyDescent="0.25">
      <c r="B37">
        <v>32.619999999999997</v>
      </c>
      <c r="C37" s="15">
        <v>6.33</v>
      </c>
      <c r="D37">
        <f t="shared" si="0"/>
        <v>3.4849255971928677</v>
      </c>
      <c r="E37">
        <f t="shared" si="0"/>
        <v>1.8453002361560848</v>
      </c>
    </row>
    <row r="38" spans="2:5" x14ac:dyDescent="0.25">
      <c r="B38">
        <v>31.61</v>
      </c>
      <c r="C38" s="15">
        <v>8.84</v>
      </c>
      <c r="D38">
        <f t="shared" si="0"/>
        <v>3.4534735262275262</v>
      </c>
      <c r="E38">
        <f t="shared" si="0"/>
        <v>2.1792868766495519</v>
      </c>
    </row>
    <row r="39" spans="2:5" x14ac:dyDescent="0.25">
      <c r="B39">
        <v>38.99</v>
      </c>
      <c r="C39" s="15">
        <v>6.26</v>
      </c>
      <c r="D39">
        <f t="shared" si="0"/>
        <v>3.6633052029945059</v>
      </c>
      <c r="E39">
        <f t="shared" si="0"/>
        <v>1.8341801851120072</v>
      </c>
    </row>
    <row r="40" spans="2:5" x14ac:dyDescent="0.25">
      <c r="B40">
        <v>29.68</v>
      </c>
      <c r="C40" s="15">
        <v>6.27</v>
      </c>
      <c r="D40">
        <f t="shared" si="0"/>
        <v>3.3904734182991798</v>
      </c>
      <c r="E40">
        <f t="shared" si="0"/>
        <v>1.8357763546448294</v>
      </c>
    </row>
    <row r="41" spans="2:5" x14ac:dyDescent="0.25">
      <c r="B41">
        <v>39.56</v>
      </c>
      <c r="C41" s="15">
        <v>7.66</v>
      </c>
      <c r="D41">
        <f t="shared" si="0"/>
        <v>3.6778185067545115</v>
      </c>
      <c r="E41">
        <f t="shared" si="0"/>
        <v>2.0360119837525001</v>
      </c>
    </row>
    <row r="42" spans="2:5" x14ac:dyDescent="0.25">
      <c r="B42">
        <v>28.29</v>
      </c>
      <c r="C42" s="15">
        <v>6.44</v>
      </c>
      <c r="D42">
        <f t="shared" si="0"/>
        <v>3.3425083853134758</v>
      </c>
      <c r="E42">
        <f t="shared" si="0"/>
        <v>1.8625285401162623</v>
      </c>
    </row>
    <row r="43" spans="2:5" x14ac:dyDescent="0.25">
      <c r="B43">
        <v>30.99</v>
      </c>
      <c r="C43" s="15">
        <v>8.07</v>
      </c>
      <c r="D43">
        <f t="shared" si="0"/>
        <v>3.4336645717996568</v>
      </c>
      <c r="E43">
        <f t="shared" si="0"/>
        <v>2.0881534822818573</v>
      </c>
    </row>
    <row r="44" spans="2:5" x14ac:dyDescent="0.25">
      <c r="B44">
        <v>36.06</v>
      </c>
      <c r="C44" s="15">
        <v>6.2</v>
      </c>
      <c r="D44">
        <f t="shared" si="0"/>
        <v>3.5851842177751712</v>
      </c>
      <c r="E44">
        <f t="shared" si="0"/>
        <v>1.824549292051046</v>
      </c>
    </row>
    <row r="45" spans="2:5" x14ac:dyDescent="0.25">
      <c r="B45">
        <v>38.090000000000003</v>
      </c>
      <c r="C45" s="15">
        <v>6.3</v>
      </c>
      <c r="D45">
        <f t="shared" si="0"/>
        <v>3.6399517804905126</v>
      </c>
      <c r="E45">
        <f t="shared" si="0"/>
        <v>1.8405496333974869</v>
      </c>
    </row>
    <row r="46" spans="2:5" x14ac:dyDescent="0.25">
      <c r="B46">
        <v>26.01</v>
      </c>
      <c r="C46" s="15">
        <v>7.04</v>
      </c>
      <c r="D46">
        <f t="shared" si="0"/>
        <v>3.2584810794605601</v>
      </c>
      <c r="E46">
        <f t="shared" si="0"/>
        <v>1.951608170169951</v>
      </c>
    </row>
    <row r="47" spans="2:5" x14ac:dyDescent="0.25">
      <c r="B47">
        <v>30.4</v>
      </c>
      <c r="C47" s="15">
        <v>6.04</v>
      </c>
      <c r="D47">
        <f t="shared" si="0"/>
        <v>3.414442608412176</v>
      </c>
      <c r="E47">
        <f t="shared" si="0"/>
        <v>1.7984040119467235</v>
      </c>
    </row>
    <row r="48" spans="2:5" x14ac:dyDescent="0.25">
      <c r="B48">
        <v>30.35</v>
      </c>
      <c r="C48" s="15">
        <v>5.26</v>
      </c>
      <c r="D48">
        <f t="shared" si="0"/>
        <v>3.4127965175055075</v>
      </c>
      <c r="E48">
        <f t="shared" si="0"/>
        <v>1.6601310267496185</v>
      </c>
    </row>
    <row r="49" spans="2:5" x14ac:dyDescent="0.25">
      <c r="B49">
        <v>34.82</v>
      </c>
      <c r="C49" s="15">
        <v>4.8</v>
      </c>
      <c r="D49">
        <f t="shared" si="0"/>
        <v>3.550191934340043</v>
      </c>
      <c r="E49">
        <f t="shared" si="0"/>
        <v>1.5686159179138452</v>
      </c>
    </row>
    <row r="50" spans="2:5" x14ac:dyDescent="0.25">
      <c r="B50">
        <v>37.1</v>
      </c>
      <c r="C50" s="15">
        <v>2.8</v>
      </c>
      <c r="D50">
        <f t="shared" si="0"/>
        <v>3.6136169696133895</v>
      </c>
      <c r="E50">
        <f t="shared" si="0"/>
        <v>1.0296194171811581</v>
      </c>
    </row>
    <row r="51" spans="2:5" x14ac:dyDescent="0.25">
      <c r="B51">
        <v>34.25</v>
      </c>
      <c r="C51" s="16">
        <v>9.51</v>
      </c>
      <c r="D51">
        <f t="shared" si="0"/>
        <v>3.5336865647082343</v>
      </c>
      <c r="E51">
        <f t="shared" si="0"/>
        <v>2.252343876557299</v>
      </c>
    </row>
    <row r="52" spans="2:5" x14ac:dyDescent="0.25">
      <c r="B52">
        <v>38.99</v>
      </c>
      <c r="C52" s="16">
        <v>6.83</v>
      </c>
      <c r="D52">
        <f t="shared" si="0"/>
        <v>3.6633052029945059</v>
      </c>
      <c r="E52">
        <f t="shared" si="0"/>
        <v>1.9213246735826988</v>
      </c>
    </row>
    <row r="53" spans="2:5" x14ac:dyDescent="0.25">
      <c r="B53">
        <v>42.29</v>
      </c>
      <c r="C53" s="16">
        <v>8.4499999999999993</v>
      </c>
      <c r="D53">
        <f t="shared" si="0"/>
        <v>3.7445506514843974</v>
      </c>
      <c r="E53">
        <f t="shared" si="0"/>
        <v>2.1341664413690822</v>
      </c>
    </row>
    <row r="54" spans="2:5" x14ac:dyDescent="0.25">
      <c r="B54">
        <v>31.76</v>
      </c>
      <c r="C54" s="16">
        <v>7.85</v>
      </c>
      <c r="D54">
        <f t="shared" si="0"/>
        <v>3.4582076363789351</v>
      </c>
      <c r="E54">
        <f t="shared" si="0"/>
        <v>2.0605135317943168</v>
      </c>
    </row>
    <row r="55" spans="2:5" x14ac:dyDescent="0.25">
      <c r="B55">
        <v>30.8</v>
      </c>
      <c r="C55" s="16">
        <v>6.28</v>
      </c>
      <c r="D55">
        <f t="shared" si="0"/>
        <v>3.427514689979529</v>
      </c>
      <c r="E55">
        <f t="shared" si="0"/>
        <v>1.8373699804801074</v>
      </c>
    </row>
    <row r="56" spans="2:5" x14ac:dyDescent="0.25">
      <c r="B56">
        <v>33.28</v>
      </c>
      <c r="C56" s="16">
        <v>7.77</v>
      </c>
      <c r="D56">
        <f t="shared" si="0"/>
        <v>3.5049566159530077</v>
      </c>
      <c r="E56">
        <f t="shared" si="0"/>
        <v>2.050270164379556</v>
      </c>
    </row>
    <row r="57" spans="2:5" x14ac:dyDescent="0.25">
      <c r="B57">
        <v>32.619999999999997</v>
      </c>
      <c r="C57" s="17">
        <v>5.8</v>
      </c>
      <c r="D57">
        <f t="shared" si="0"/>
        <v>3.4849255971928677</v>
      </c>
      <c r="E57">
        <f t="shared" si="0"/>
        <v>1.7578579175523736</v>
      </c>
    </row>
    <row r="58" spans="2:5" x14ac:dyDescent="0.25">
      <c r="B58">
        <v>37.53</v>
      </c>
      <c r="C58" s="17">
        <v>3</v>
      </c>
      <c r="D58">
        <f t="shared" si="0"/>
        <v>3.6251406131469297</v>
      </c>
      <c r="E58">
        <f t="shared" si="0"/>
        <v>1.0986122886681098</v>
      </c>
    </row>
    <row r="59" spans="2:5" x14ac:dyDescent="0.25">
      <c r="B59">
        <v>37.96</v>
      </c>
      <c r="C59" s="15">
        <v>24</v>
      </c>
      <c r="D59">
        <f t="shared" si="0"/>
        <v>3.6365329737417271</v>
      </c>
      <c r="E59">
        <f t="shared" si="0"/>
        <v>3.1780538303479458</v>
      </c>
    </row>
    <row r="60" spans="2:5" x14ac:dyDescent="0.25">
      <c r="B60">
        <v>28.97</v>
      </c>
      <c r="C60" s="15">
        <v>19.55</v>
      </c>
      <c r="D60">
        <f t="shared" si="0"/>
        <v>3.3662608117812591</v>
      </c>
      <c r="E60">
        <f t="shared" si="0"/>
        <v>2.972975286431375</v>
      </c>
    </row>
    <row r="61" spans="2:5" x14ac:dyDescent="0.25">
      <c r="B61">
        <v>34.17</v>
      </c>
      <c r="C61" s="15">
        <v>10.199999999999999</v>
      </c>
      <c r="D61">
        <f t="shared" si="0"/>
        <v>3.5313480661272005</v>
      </c>
      <c r="E61">
        <f t="shared" si="0"/>
        <v>2.3223877202902252</v>
      </c>
    </row>
    <row r="62" spans="2:5" x14ac:dyDescent="0.25">
      <c r="B62">
        <v>31.31</v>
      </c>
      <c r="C62" s="15">
        <v>14.3</v>
      </c>
      <c r="D62">
        <f t="shared" si="0"/>
        <v>3.4439375353383141</v>
      </c>
      <c r="E62">
        <f t="shared" si="0"/>
        <v>2.6602595372658615</v>
      </c>
    </row>
    <row r="63" spans="2:5" x14ac:dyDescent="0.25">
      <c r="B63">
        <v>32.35</v>
      </c>
      <c r="C63" s="15">
        <v>13.02</v>
      </c>
      <c r="D63">
        <f t="shared" si="0"/>
        <v>3.4766140209469096</v>
      </c>
      <c r="E63">
        <f t="shared" si="0"/>
        <v>2.5664866367804233</v>
      </c>
    </row>
    <row r="64" spans="2:5" x14ac:dyDescent="0.25">
      <c r="B64">
        <v>37.19</v>
      </c>
      <c r="C64" s="15">
        <v>15.94</v>
      </c>
      <c r="D64">
        <f t="shared" si="0"/>
        <v>3.6160399079369787</v>
      </c>
      <c r="E64">
        <f t="shared" si="0"/>
        <v>2.7688316733620688</v>
      </c>
    </row>
    <row r="65" spans="2:5" x14ac:dyDescent="0.25">
      <c r="B65">
        <v>31.34</v>
      </c>
      <c r="C65" s="15">
        <v>18.510000000000002</v>
      </c>
      <c r="D65">
        <f t="shared" si="0"/>
        <v>3.4448952369278749</v>
      </c>
      <c r="E65">
        <f t="shared" si="0"/>
        <v>2.9183111265854063</v>
      </c>
    </row>
    <row r="66" spans="2:5" x14ac:dyDescent="0.25">
      <c r="B66">
        <v>40.72</v>
      </c>
      <c r="C66" s="15">
        <v>12.36</v>
      </c>
      <c r="D66">
        <f t="shared" si="0"/>
        <v>3.7067193722422673</v>
      </c>
      <c r="E66">
        <f t="shared" si="0"/>
        <v>2.5144654520295449</v>
      </c>
    </row>
    <row r="67" spans="2:5" x14ac:dyDescent="0.25">
      <c r="B67">
        <v>30.82</v>
      </c>
      <c r="C67" s="15">
        <v>10.94</v>
      </c>
      <c r="D67">
        <f t="shared" ref="D67:E130" si="1">LN(B67)</f>
        <v>3.4281638298919699</v>
      </c>
      <c r="E67">
        <f t="shared" si="1"/>
        <v>2.3924257969938352</v>
      </c>
    </row>
    <row r="68" spans="2:5" x14ac:dyDescent="0.25">
      <c r="B68">
        <v>48.11</v>
      </c>
      <c r="C68" s="15">
        <v>11.43</v>
      </c>
      <c r="D68">
        <f t="shared" si="1"/>
        <v>3.8734900557113625</v>
      </c>
      <c r="E68">
        <f t="shared" si="1"/>
        <v>2.4362414778067194</v>
      </c>
    </row>
    <row r="69" spans="2:5" x14ac:dyDescent="0.25">
      <c r="B69">
        <v>32.85</v>
      </c>
      <c r="C69" s="15">
        <v>8.58</v>
      </c>
      <c r="D69">
        <f t="shared" si="1"/>
        <v>3.4919517449306197</v>
      </c>
      <c r="E69">
        <f t="shared" si="1"/>
        <v>2.149433913499871</v>
      </c>
    </row>
    <row r="70" spans="2:5" x14ac:dyDescent="0.25">
      <c r="B70">
        <v>34.25</v>
      </c>
      <c r="C70" s="15">
        <v>10.93</v>
      </c>
      <c r="D70">
        <f t="shared" si="1"/>
        <v>3.5336865647082343</v>
      </c>
      <c r="E70">
        <f t="shared" si="1"/>
        <v>2.3915113021884471</v>
      </c>
    </row>
    <row r="71" spans="2:5" x14ac:dyDescent="0.25">
      <c r="B71">
        <v>26.73</v>
      </c>
      <c r="C71" s="15">
        <v>9.27</v>
      </c>
      <c r="D71">
        <f t="shared" si="1"/>
        <v>3.2857865301508276</v>
      </c>
      <c r="E71">
        <f t="shared" si="1"/>
        <v>2.2267833795777636</v>
      </c>
    </row>
    <row r="72" spans="2:5" x14ac:dyDescent="0.25">
      <c r="B72">
        <v>31.31</v>
      </c>
      <c r="C72" s="15">
        <v>8.4</v>
      </c>
      <c r="D72">
        <f t="shared" si="1"/>
        <v>3.4439375353383141</v>
      </c>
      <c r="E72">
        <f t="shared" si="1"/>
        <v>2.1282317058492679</v>
      </c>
    </row>
    <row r="73" spans="2:5" x14ac:dyDescent="0.25">
      <c r="B73">
        <v>33.049999999999997</v>
      </c>
      <c r="C73" s="15">
        <v>9.85</v>
      </c>
      <c r="D73">
        <f t="shared" si="1"/>
        <v>3.498021566297695</v>
      </c>
      <c r="E73">
        <f t="shared" si="1"/>
        <v>2.2874714551839976</v>
      </c>
    </row>
    <row r="74" spans="2:5" x14ac:dyDescent="0.25">
      <c r="B74">
        <v>32.479999999999997</v>
      </c>
      <c r="C74" s="15">
        <v>7.94</v>
      </c>
      <c r="D74">
        <f t="shared" si="1"/>
        <v>3.4806245152934769</v>
      </c>
      <c r="E74">
        <f t="shared" si="1"/>
        <v>2.0719132752590443</v>
      </c>
    </row>
    <row r="75" spans="2:5" x14ac:dyDescent="0.25">
      <c r="B75">
        <v>45.59</v>
      </c>
      <c r="C75" s="15">
        <v>6.75</v>
      </c>
      <c r="D75">
        <f t="shared" si="1"/>
        <v>3.8196883942253503</v>
      </c>
      <c r="E75">
        <f t="shared" si="1"/>
        <v>1.9095425048844386</v>
      </c>
    </row>
    <row r="76" spans="2:5" x14ac:dyDescent="0.25">
      <c r="B76">
        <v>39.630000000000003</v>
      </c>
      <c r="C76" s="15">
        <v>7.42</v>
      </c>
      <c r="D76">
        <f t="shared" si="1"/>
        <v>3.6795864072023439</v>
      </c>
      <c r="E76">
        <f t="shared" si="1"/>
        <v>2.004179057179289</v>
      </c>
    </row>
    <row r="77" spans="2:5" x14ac:dyDescent="0.25">
      <c r="B77">
        <v>28.4</v>
      </c>
      <c r="C77" s="15">
        <v>5.88</v>
      </c>
      <c r="D77">
        <f t="shared" si="1"/>
        <v>3.3463891451671604</v>
      </c>
      <c r="E77">
        <f t="shared" si="1"/>
        <v>1.7715567619105355</v>
      </c>
    </row>
    <row r="78" spans="2:5" x14ac:dyDescent="0.25">
      <c r="B78">
        <v>34.03</v>
      </c>
      <c r="C78" s="15">
        <v>5.42</v>
      </c>
      <c r="D78">
        <f t="shared" si="1"/>
        <v>3.5272424885128144</v>
      </c>
      <c r="E78">
        <f t="shared" si="1"/>
        <v>1.6900958154515549</v>
      </c>
    </row>
    <row r="79" spans="2:5" x14ac:dyDescent="0.25">
      <c r="B79">
        <v>39.99</v>
      </c>
      <c r="C79" s="15">
        <v>4.4400000000000004</v>
      </c>
      <c r="D79">
        <f t="shared" si="1"/>
        <v>3.6886294228587269</v>
      </c>
      <c r="E79">
        <f t="shared" si="1"/>
        <v>1.4906543764441336</v>
      </c>
    </row>
    <row r="80" spans="2:5" x14ac:dyDescent="0.25">
      <c r="B80">
        <v>32.53</v>
      </c>
      <c r="C80" s="15">
        <v>5.23</v>
      </c>
      <c r="D80">
        <f t="shared" si="1"/>
        <v>3.48216274048526</v>
      </c>
      <c r="E80">
        <f t="shared" si="1"/>
        <v>1.6544112780768316</v>
      </c>
    </row>
    <row r="81" spans="2:5" x14ac:dyDescent="0.25">
      <c r="B81">
        <v>33.380000000000003</v>
      </c>
      <c r="C81" s="18">
        <v>18.059999999999999</v>
      </c>
      <c r="D81">
        <f t="shared" si="1"/>
        <v>3.5079569182336892</v>
      </c>
      <c r="E81">
        <f t="shared" si="1"/>
        <v>2.8936995479888394</v>
      </c>
    </row>
    <row r="82" spans="2:5" x14ac:dyDescent="0.25">
      <c r="B82">
        <v>36.57</v>
      </c>
      <c r="C82" s="19">
        <v>18.75</v>
      </c>
      <c r="D82">
        <f t="shared" si="1"/>
        <v>3.5992282321612898</v>
      </c>
      <c r="E82">
        <f t="shared" si="1"/>
        <v>2.9311937524164198</v>
      </c>
    </row>
    <row r="83" spans="2:5" x14ac:dyDescent="0.25">
      <c r="B83">
        <v>35.6</v>
      </c>
      <c r="C83" s="19">
        <v>18.46</v>
      </c>
      <c r="D83">
        <f t="shared" si="1"/>
        <v>3.572345637857985</v>
      </c>
      <c r="E83">
        <f t="shared" si="1"/>
        <v>2.9156062290747062</v>
      </c>
    </row>
    <row r="84" spans="2:5" x14ac:dyDescent="0.25">
      <c r="B84">
        <v>38.49</v>
      </c>
      <c r="C84" s="19">
        <v>22.14</v>
      </c>
      <c r="D84">
        <f t="shared" si="1"/>
        <v>3.6503984672956546</v>
      </c>
      <c r="E84">
        <f t="shared" si="1"/>
        <v>3.0973859272804907</v>
      </c>
    </row>
    <row r="85" spans="2:5" x14ac:dyDescent="0.25">
      <c r="B85">
        <v>39.340000000000003</v>
      </c>
      <c r="C85" s="19">
        <v>25.63</v>
      </c>
      <c r="D85">
        <f t="shared" si="1"/>
        <v>3.6722418129609129</v>
      </c>
      <c r="E85">
        <f t="shared" si="1"/>
        <v>3.2437635403759799</v>
      </c>
    </row>
    <row r="86" spans="2:5" x14ac:dyDescent="0.25">
      <c r="B86">
        <v>42.44</v>
      </c>
      <c r="C86" s="19">
        <v>20.25</v>
      </c>
      <c r="D86">
        <f t="shared" si="1"/>
        <v>3.7480913137457823</v>
      </c>
      <c r="E86">
        <f t="shared" si="1"/>
        <v>3.0081547935525483</v>
      </c>
    </row>
    <row r="87" spans="2:5" x14ac:dyDescent="0.25">
      <c r="B87">
        <v>30.8</v>
      </c>
      <c r="C87" s="19">
        <v>27.9</v>
      </c>
      <c r="D87">
        <f t="shared" si="1"/>
        <v>3.427514689979529</v>
      </c>
      <c r="E87">
        <f t="shared" si="1"/>
        <v>3.3286266888273199</v>
      </c>
    </row>
    <row r="88" spans="2:5" x14ac:dyDescent="0.25">
      <c r="B88">
        <v>38.71</v>
      </c>
      <c r="C88" s="19">
        <v>18.39</v>
      </c>
      <c r="D88">
        <f t="shared" si="1"/>
        <v>3.6560979645895566</v>
      </c>
      <c r="E88">
        <f t="shared" si="1"/>
        <v>2.9118070386162298</v>
      </c>
    </row>
    <row r="89" spans="2:5" x14ac:dyDescent="0.25">
      <c r="B89">
        <v>48.28</v>
      </c>
      <c r="C89" s="19">
        <v>13.48</v>
      </c>
      <c r="D89">
        <f t="shared" si="1"/>
        <v>3.8770173962293306</v>
      </c>
      <c r="E89">
        <f t="shared" si="1"/>
        <v>2.601207105484161</v>
      </c>
    </row>
    <row r="90" spans="2:5" x14ac:dyDescent="0.25">
      <c r="B90">
        <v>43.75</v>
      </c>
      <c r="C90" s="19">
        <v>19.57</v>
      </c>
      <c r="D90">
        <f t="shared" si="1"/>
        <v>3.7784916128036232</v>
      </c>
      <c r="E90">
        <f t="shared" si="1"/>
        <v>2.9739977814079848</v>
      </c>
    </row>
    <row r="91" spans="2:5" x14ac:dyDescent="0.25">
      <c r="B91">
        <v>42.44</v>
      </c>
      <c r="C91" s="19">
        <v>17.809999999999999</v>
      </c>
      <c r="D91">
        <f t="shared" si="1"/>
        <v>3.7480913137457823</v>
      </c>
      <c r="E91">
        <f t="shared" si="1"/>
        <v>2.87976009730157</v>
      </c>
    </row>
    <row r="92" spans="2:5" x14ac:dyDescent="0.25">
      <c r="B92">
        <v>30.8</v>
      </c>
      <c r="C92" s="19">
        <v>19</v>
      </c>
      <c r="D92">
        <f t="shared" si="1"/>
        <v>3.427514689979529</v>
      </c>
      <c r="E92">
        <f t="shared" si="1"/>
        <v>2.9444389791664403</v>
      </c>
    </row>
    <row r="93" spans="2:5" x14ac:dyDescent="0.25">
      <c r="B93">
        <v>39.75</v>
      </c>
      <c r="C93" s="19">
        <v>14.38</v>
      </c>
      <c r="D93">
        <f t="shared" si="1"/>
        <v>3.6826098411003407</v>
      </c>
      <c r="E93">
        <f t="shared" si="1"/>
        <v>2.6658383522929006</v>
      </c>
    </row>
    <row r="94" spans="2:5" x14ac:dyDescent="0.25">
      <c r="B94">
        <v>47.08</v>
      </c>
      <c r="C94" s="19">
        <v>12.23</v>
      </c>
      <c r="D94">
        <f t="shared" si="1"/>
        <v>3.8518482823920759</v>
      </c>
      <c r="E94">
        <f t="shared" si="1"/>
        <v>2.503891949699081</v>
      </c>
    </row>
    <row r="95" spans="2:5" x14ac:dyDescent="0.25">
      <c r="B95">
        <v>40.76</v>
      </c>
      <c r="C95" s="19">
        <v>12.76</v>
      </c>
      <c r="D95">
        <f t="shared" si="1"/>
        <v>3.707701208354524</v>
      </c>
      <c r="E95">
        <f t="shared" si="1"/>
        <v>2.5463152779166438</v>
      </c>
    </row>
    <row r="96" spans="2:5" x14ac:dyDescent="0.25">
      <c r="B96">
        <v>38.33</v>
      </c>
      <c r="C96" s="19">
        <v>12.42</v>
      </c>
      <c r="D96">
        <f t="shared" si="1"/>
        <v>3.6462328793924637</v>
      </c>
      <c r="E96">
        <f t="shared" si="1"/>
        <v>2.5193080765053328</v>
      </c>
    </row>
    <row r="97" spans="2:5" x14ac:dyDescent="0.25">
      <c r="B97">
        <v>30.35</v>
      </c>
      <c r="C97" s="19">
        <v>14.72</v>
      </c>
      <c r="D97">
        <f t="shared" si="1"/>
        <v>3.4127965175055075</v>
      </c>
      <c r="E97">
        <f t="shared" si="1"/>
        <v>2.6892071133007303</v>
      </c>
    </row>
    <row r="98" spans="2:5" x14ac:dyDescent="0.25">
      <c r="B98">
        <v>38.68</v>
      </c>
      <c r="C98" s="19">
        <v>12.24</v>
      </c>
      <c r="D98">
        <f t="shared" si="1"/>
        <v>3.6553226705850936</v>
      </c>
      <c r="E98">
        <f t="shared" si="1"/>
        <v>2.5047092770841801</v>
      </c>
    </row>
    <row r="99" spans="2:5" x14ac:dyDescent="0.25">
      <c r="B99">
        <v>45.41</v>
      </c>
      <c r="C99" s="19">
        <v>11.6</v>
      </c>
      <c r="D99">
        <f t="shared" si="1"/>
        <v>3.8157323451098595</v>
      </c>
      <c r="E99">
        <f t="shared" si="1"/>
        <v>2.451005098112319</v>
      </c>
    </row>
    <row r="100" spans="2:5" x14ac:dyDescent="0.25">
      <c r="B100">
        <v>38.01</v>
      </c>
      <c r="C100" s="19">
        <v>10.23</v>
      </c>
      <c r="D100">
        <f t="shared" si="1"/>
        <v>3.6378492830011573</v>
      </c>
      <c r="E100">
        <f t="shared" si="1"/>
        <v>2.3253245799635351</v>
      </c>
    </row>
    <row r="101" spans="2:5" x14ac:dyDescent="0.25">
      <c r="B101">
        <v>34.31</v>
      </c>
      <c r="C101" s="19">
        <v>15.28</v>
      </c>
      <c r="D101">
        <f t="shared" si="1"/>
        <v>3.5354368568703585</v>
      </c>
      <c r="E101">
        <f t="shared" si="1"/>
        <v>2.7265447837383743</v>
      </c>
    </row>
    <row r="102" spans="2:5" x14ac:dyDescent="0.25">
      <c r="B102">
        <v>35.31</v>
      </c>
      <c r="C102" s="19">
        <v>11.67</v>
      </c>
      <c r="D102">
        <f t="shared" si="1"/>
        <v>3.5641662099402951</v>
      </c>
      <c r="E102">
        <f t="shared" si="1"/>
        <v>2.4570214462984645</v>
      </c>
    </row>
    <row r="103" spans="2:5" x14ac:dyDescent="0.25">
      <c r="B103">
        <v>35.659999999999997</v>
      </c>
      <c r="C103" s="19">
        <v>9.67</v>
      </c>
      <c r="D103">
        <f t="shared" si="1"/>
        <v>3.5740296124349942</v>
      </c>
      <c r="E103">
        <f t="shared" si="1"/>
        <v>2.2690283094652028</v>
      </c>
    </row>
    <row r="104" spans="2:5" x14ac:dyDescent="0.25">
      <c r="B104">
        <v>35.89</v>
      </c>
      <c r="C104" s="19">
        <v>9.3800000000000008</v>
      </c>
      <c r="D104">
        <f t="shared" si="1"/>
        <v>3.5804587051595158</v>
      </c>
      <c r="E104">
        <f t="shared" si="1"/>
        <v>2.2385797630181332</v>
      </c>
    </row>
    <row r="105" spans="2:5" x14ac:dyDescent="0.25">
      <c r="B105">
        <v>34.17</v>
      </c>
      <c r="C105" s="19">
        <v>11.15</v>
      </c>
      <c r="D105">
        <f t="shared" si="1"/>
        <v>3.5313480661272005</v>
      </c>
      <c r="E105">
        <f t="shared" si="1"/>
        <v>2.411439497906128</v>
      </c>
    </row>
    <row r="106" spans="2:5" x14ac:dyDescent="0.25">
      <c r="B106">
        <v>34.74</v>
      </c>
      <c r="C106" s="19">
        <v>10.34</v>
      </c>
      <c r="D106">
        <f t="shared" si="1"/>
        <v>3.5478917608129588</v>
      </c>
      <c r="E106">
        <f t="shared" si="1"/>
        <v>2.3360198690802831</v>
      </c>
    </row>
    <row r="107" spans="2:5" x14ac:dyDescent="0.25">
      <c r="B107">
        <v>38.299999999999997</v>
      </c>
      <c r="C107" s="19">
        <v>10.42</v>
      </c>
      <c r="D107">
        <f t="shared" si="1"/>
        <v>3.6454498961866002</v>
      </c>
      <c r="E107">
        <f t="shared" si="1"/>
        <v>2.3437270363252209</v>
      </c>
    </row>
    <row r="108" spans="2:5" x14ac:dyDescent="0.25">
      <c r="B108">
        <v>36.71</v>
      </c>
      <c r="C108" s="19">
        <v>7.83</v>
      </c>
      <c r="D108">
        <f t="shared" si="1"/>
        <v>3.6030491975087431</v>
      </c>
      <c r="E108">
        <f t="shared" si="1"/>
        <v>2.0579625100027119</v>
      </c>
    </row>
    <row r="109" spans="2:5" x14ac:dyDescent="0.25">
      <c r="B109">
        <v>42.44</v>
      </c>
      <c r="C109" s="19">
        <v>6.81</v>
      </c>
      <c r="D109">
        <f t="shared" si="1"/>
        <v>3.7480913137457823</v>
      </c>
      <c r="E109">
        <f t="shared" si="1"/>
        <v>1.9183921201614209</v>
      </c>
    </row>
    <row r="110" spans="2:5" x14ac:dyDescent="0.25">
      <c r="B110">
        <v>35.89</v>
      </c>
      <c r="C110" s="19">
        <v>7.04</v>
      </c>
      <c r="D110">
        <f t="shared" si="1"/>
        <v>3.5804587051595158</v>
      </c>
      <c r="E110">
        <f t="shared" si="1"/>
        <v>1.951608170169951</v>
      </c>
    </row>
    <row r="111" spans="2:5" x14ac:dyDescent="0.25">
      <c r="B111">
        <v>39.729999999999997</v>
      </c>
      <c r="C111" s="19">
        <v>6.35</v>
      </c>
      <c r="D111">
        <f t="shared" si="1"/>
        <v>3.6821065698265074</v>
      </c>
      <c r="E111">
        <f t="shared" si="1"/>
        <v>1.8484548129046001</v>
      </c>
    </row>
    <row r="112" spans="2:5" x14ac:dyDescent="0.25">
      <c r="B112">
        <v>32.619999999999997</v>
      </c>
      <c r="C112" s="19">
        <v>7.42</v>
      </c>
      <c r="D112">
        <f t="shared" si="1"/>
        <v>3.4849255971928677</v>
      </c>
      <c r="E112">
        <f t="shared" si="1"/>
        <v>2.004179057179289</v>
      </c>
    </row>
    <row r="113" spans="2:5" x14ac:dyDescent="0.25">
      <c r="B113">
        <v>28.28</v>
      </c>
      <c r="C113" s="19">
        <v>7.09</v>
      </c>
      <c r="D113">
        <f t="shared" si="1"/>
        <v>3.3421548410283721</v>
      </c>
      <c r="E113">
        <f t="shared" si="1"/>
        <v>1.9586853405440361</v>
      </c>
    </row>
    <row r="114" spans="2:5" x14ac:dyDescent="0.25">
      <c r="B114">
        <v>38.99</v>
      </c>
      <c r="C114" s="19">
        <v>5.74</v>
      </c>
      <c r="D114">
        <f t="shared" si="1"/>
        <v>3.6633052029945059</v>
      </c>
      <c r="E114">
        <f t="shared" si="1"/>
        <v>1.747459210331475</v>
      </c>
    </row>
    <row r="115" spans="2:5" x14ac:dyDescent="0.25">
      <c r="B115">
        <v>28.97</v>
      </c>
      <c r="C115" s="19">
        <v>5.76</v>
      </c>
      <c r="D115">
        <f t="shared" si="1"/>
        <v>3.3662608117812591</v>
      </c>
      <c r="E115">
        <f t="shared" si="1"/>
        <v>1.7509374747077999</v>
      </c>
    </row>
    <row r="116" spans="2:5" x14ac:dyDescent="0.25">
      <c r="B116">
        <v>38.25</v>
      </c>
      <c r="C116" s="19">
        <v>5.85</v>
      </c>
      <c r="D116">
        <f t="shared" si="1"/>
        <v>3.6441435602725449</v>
      </c>
      <c r="E116">
        <f t="shared" si="1"/>
        <v>1.766441661243765</v>
      </c>
    </row>
    <row r="117" spans="2:5" x14ac:dyDescent="0.25">
      <c r="B117">
        <v>40.9</v>
      </c>
      <c r="C117" s="19">
        <v>7.03</v>
      </c>
      <c r="D117">
        <f t="shared" si="1"/>
        <v>3.7111300630487558</v>
      </c>
      <c r="E117">
        <f t="shared" si="1"/>
        <v>1.9501867058225735</v>
      </c>
    </row>
    <row r="118" spans="2:5" x14ac:dyDescent="0.25">
      <c r="B118">
        <v>31.76</v>
      </c>
      <c r="C118" s="19">
        <v>5.92</v>
      </c>
      <c r="D118">
        <f t="shared" si="1"/>
        <v>3.4582076363789351</v>
      </c>
      <c r="E118">
        <f t="shared" si="1"/>
        <v>1.7783364488959144</v>
      </c>
    </row>
    <row r="119" spans="2:5" x14ac:dyDescent="0.25">
      <c r="B119">
        <v>30.8</v>
      </c>
      <c r="C119" s="19">
        <v>5.41</v>
      </c>
      <c r="D119">
        <f t="shared" si="1"/>
        <v>3.427514689979529</v>
      </c>
      <c r="E119">
        <f t="shared" si="1"/>
        <v>1.6882490928583902</v>
      </c>
    </row>
    <row r="120" spans="2:5" x14ac:dyDescent="0.25">
      <c r="B120">
        <v>39.75</v>
      </c>
      <c r="C120" s="19">
        <v>6.02</v>
      </c>
      <c r="D120">
        <f t="shared" si="1"/>
        <v>3.6826098411003407</v>
      </c>
      <c r="E120">
        <f t="shared" si="1"/>
        <v>1.7950872593207297</v>
      </c>
    </row>
    <row r="121" spans="2:5" x14ac:dyDescent="0.25">
      <c r="B121">
        <v>37.36</v>
      </c>
      <c r="C121" s="19">
        <v>5.05</v>
      </c>
      <c r="D121">
        <f t="shared" si="1"/>
        <v>3.6206006133606419</v>
      </c>
      <c r="E121">
        <f t="shared" si="1"/>
        <v>1.6193882432872684</v>
      </c>
    </row>
    <row r="122" spans="2:5" x14ac:dyDescent="0.25">
      <c r="B122">
        <v>39.56</v>
      </c>
      <c r="C122" s="19">
        <v>5.71</v>
      </c>
      <c r="D122">
        <f t="shared" si="1"/>
        <v>3.6778185067545115</v>
      </c>
      <c r="E122">
        <f t="shared" si="1"/>
        <v>1.7422190236679189</v>
      </c>
    </row>
    <row r="123" spans="2:5" x14ac:dyDescent="0.25">
      <c r="B123">
        <v>28.29</v>
      </c>
      <c r="C123" s="19">
        <v>5.33</v>
      </c>
      <c r="D123">
        <f t="shared" si="1"/>
        <v>3.3425083853134758</v>
      </c>
      <c r="E123">
        <f t="shared" si="1"/>
        <v>1.6733512381777531</v>
      </c>
    </row>
    <row r="124" spans="2:5" x14ac:dyDescent="0.25">
      <c r="B124">
        <v>40.15</v>
      </c>
      <c r="C124" s="19">
        <v>5.5</v>
      </c>
      <c r="D124">
        <f t="shared" si="1"/>
        <v>3.6926224403927708</v>
      </c>
      <c r="E124">
        <f t="shared" si="1"/>
        <v>1.7047480922384253</v>
      </c>
    </row>
    <row r="125" spans="2:5" x14ac:dyDescent="0.25">
      <c r="B125">
        <v>32.85</v>
      </c>
      <c r="C125" s="19">
        <v>5.55</v>
      </c>
      <c r="D125">
        <f t="shared" si="1"/>
        <v>3.4919517449306197</v>
      </c>
      <c r="E125">
        <f t="shared" si="1"/>
        <v>1.7137979277583431</v>
      </c>
    </row>
    <row r="126" spans="2:5" x14ac:dyDescent="0.25">
      <c r="B126">
        <v>34.25</v>
      </c>
      <c r="C126" s="19">
        <v>5.49</v>
      </c>
      <c r="D126">
        <f t="shared" si="1"/>
        <v>3.5336865647082343</v>
      </c>
      <c r="E126">
        <f t="shared" si="1"/>
        <v>1.7029282555214393</v>
      </c>
    </row>
    <row r="127" spans="2:5" x14ac:dyDescent="0.25">
      <c r="B127">
        <v>40.76</v>
      </c>
      <c r="C127" s="19">
        <v>4.58</v>
      </c>
      <c r="D127">
        <f t="shared" si="1"/>
        <v>3.707701208354524</v>
      </c>
      <c r="E127">
        <f t="shared" si="1"/>
        <v>1.5216989981260935</v>
      </c>
    </row>
    <row r="128" spans="2:5" x14ac:dyDescent="0.25">
      <c r="B128">
        <v>30.9</v>
      </c>
      <c r="C128" s="19">
        <v>4.8</v>
      </c>
      <c r="D128">
        <f t="shared" si="1"/>
        <v>3.4307561839036995</v>
      </c>
      <c r="E128">
        <f t="shared" si="1"/>
        <v>1.5686159179138452</v>
      </c>
    </row>
    <row r="129" spans="2:5" x14ac:dyDescent="0.25">
      <c r="B129">
        <v>33.229999999999997</v>
      </c>
      <c r="C129" s="19">
        <v>4.4000000000000004</v>
      </c>
      <c r="D129">
        <f t="shared" si="1"/>
        <v>3.5034530823665029</v>
      </c>
      <c r="E129">
        <f t="shared" si="1"/>
        <v>1.4816045409242156</v>
      </c>
    </row>
    <row r="130" spans="2:5" x14ac:dyDescent="0.25">
      <c r="B130">
        <v>36.57</v>
      </c>
      <c r="C130" s="19">
        <v>5.19</v>
      </c>
      <c r="D130">
        <f t="shared" si="1"/>
        <v>3.5992282321612898</v>
      </c>
      <c r="E130">
        <f t="shared" si="1"/>
        <v>1.6467336971777973</v>
      </c>
    </row>
    <row r="131" spans="2:5" x14ac:dyDescent="0.25">
      <c r="B131">
        <v>46.59</v>
      </c>
      <c r="C131" s="19">
        <v>4.6399999999999997</v>
      </c>
      <c r="D131">
        <f t="shared" ref="D131:E194" si="2">LN(B131)</f>
        <v>3.8413859258287055</v>
      </c>
      <c r="E131">
        <f t="shared" si="2"/>
        <v>1.5347143662381639</v>
      </c>
    </row>
    <row r="132" spans="2:5" x14ac:dyDescent="0.25">
      <c r="B132">
        <v>38.49</v>
      </c>
      <c r="C132" s="19">
        <v>4.6900000000000004</v>
      </c>
      <c r="D132">
        <f t="shared" si="2"/>
        <v>3.6503984672956546</v>
      </c>
      <c r="E132">
        <f t="shared" si="2"/>
        <v>1.545432582458188</v>
      </c>
    </row>
    <row r="133" spans="2:5" x14ac:dyDescent="0.25">
      <c r="B133">
        <v>33.28</v>
      </c>
      <c r="C133" s="19">
        <v>4.7</v>
      </c>
      <c r="D133">
        <f t="shared" si="2"/>
        <v>3.5049566159530077</v>
      </c>
      <c r="E133">
        <f t="shared" si="2"/>
        <v>1.547562508716013</v>
      </c>
    </row>
    <row r="134" spans="2:5" x14ac:dyDescent="0.25">
      <c r="B134">
        <v>46.09</v>
      </c>
      <c r="C134" s="19">
        <v>4.13</v>
      </c>
      <c r="D134">
        <f t="shared" si="2"/>
        <v>3.8305960067324172</v>
      </c>
      <c r="E134">
        <f t="shared" si="2"/>
        <v>1.4182774069729414</v>
      </c>
    </row>
    <row r="135" spans="2:5" x14ac:dyDescent="0.25">
      <c r="B135">
        <v>35.659999999999997</v>
      </c>
      <c r="C135" s="19">
        <v>3.9</v>
      </c>
      <c r="D135">
        <f t="shared" si="2"/>
        <v>3.5740296124349942</v>
      </c>
      <c r="E135">
        <f t="shared" si="2"/>
        <v>1.3609765531356006</v>
      </c>
    </row>
    <row r="136" spans="2:5" x14ac:dyDescent="0.25">
      <c r="B136">
        <v>35.89</v>
      </c>
      <c r="C136" s="19">
        <v>4.17</v>
      </c>
      <c r="D136">
        <f t="shared" si="2"/>
        <v>3.5804587051595158</v>
      </c>
      <c r="E136">
        <f t="shared" si="2"/>
        <v>1.4279160358107101</v>
      </c>
    </row>
    <row r="137" spans="2:5" x14ac:dyDescent="0.25">
      <c r="B137">
        <v>39.729999999999997</v>
      </c>
      <c r="C137" s="19">
        <v>4.57</v>
      </c>
      <c r="D137">
        <f t="shared" si="2"/>
        <v>3.6821065698265074</v>
      </c>
      <c r="E137">
        <f t="shared" si="2"/>
        <v>1.5195132049061133</v>
      </c>
    </row>
    <row r="138" spans="2:5" x14ac:dyDescent="0.25">
      <c r="B138">
        <v>27.53</v>
      </c>
      <c r="C138" s="19">
        <v>4.16</v>
      </c>
      <c r="D138">
        <f t="shared" si="2"/>
        <v>3.315276319154516</v>
      </c>
      <c r="E138">
        <f t="shared" si="2"/>
        <v>1.4255150742731719</v>
      </c>
    </row>
    <row r="139" spans="2:5" x14ac:dyDescent="0.25">
      <c r="B139">
        <v>35.700000000000003</v>
      </c>
      <c r="C139" s="19">
        <v>3.36</v>
      </c>
      <c r="D139">
        <f t="shared" si="2"/>
        <v>3.5751506887855933</v>
      </c>
      <c r="E139">
        <f t="shared" si="2"/>
        <v>1.2119409739751128</v>
      </c>
    </row>
    <row r="140" spans="2:5" x14ac:dyDescent="0.25">
      <c r="B140">
        <v>34.5</v>
      </c>
      <c r="C140" s="20">
        <v>4.82</v>
      </c>
      <c r="D140">
        <f t="shared" si="2"/>
        <v>3.5409593240373143</v>
      </c>
      <c r="E140">
        <f t="shared" si="2"/>
        <v>1.572773928062509</v>
      </c>
    </row>
    <row r="141" spans="2:5" x14ac:dyDescent="0.25">
      <c r="B141">
        <v>39.159999999999997</v>
      </c>
      <c r="C141" s="21">
        <v>24.67</v>
      </c>
      <c r="D141">
        <f t="shared" si="2"/>
        <v>3.6676558176623097</v>
      </c>
      <c r="E141">
        <f t="shared" si="2"/>
        <v>3.2055879305412653</v>
      </c>
    </row>
    <row r="142" spans="2:5" x14ac:dyDescent="0.25">
      <c r="B142">
        <v>45.83</v>
      </c>
      <c r="C142" s="21">
        <v>24.73</v>
      </c>
      <c r="D142">
        <f t="shared" si="2"/>
        <v>3.8249388985210326</v>
      </c>
      <c r="E142">
        <f t="shared" si="2"/>
        <v>3.2080170815333249</v>
      </c>
    </row>
    <row r="143" spans="2:5" x14ac:dyDescent="0.25">
      <c r="B143">
        <v>37.229999999999997</v>
      </c>
      <c r="C143" s="21">
        <v>25.04</v>
      </c>
      <c r="D143">
        <f t="shared" si="2"/>
        <v>3.6171148878846253</v>
      </c>
      <c r="E143">
        <f t="shared" si="2"/>
        <v>3.2204745462318978</v>
      </c>
    </row>
    <row r="144" spans="2:5" x14ac:dyDescent="0.25">
      <c r="B144">
        <v>31.5</v>
      </c>
      <c r="C144" s="21">
        <v>21.11</v>
      </c>
      <c r="D144">
        <f t="shared" si="2"/>
        <v>3.4499875458315872</v>
      </c>
      <c r="E144">
        <f t="shared" si="2"/>
        <v>3.0497468618602293</v>
      </c>
    </row>
    <row r="145" spans="2:5" x14ac:dyDescent="0.25">
      <c r="B145">
        <v>33.840000000000003</v>
      </c>
      <c r="C145" s="21">
        <v>17.68</v>
      </c>
      <c r="D145">
        <f t="shared" si="2"/>
        <v>3.5216435347380228</v>
      </c>
      <c r="E145">
        <f t="shared" si="2"/>
        <v>2.8724340572094973</v>
      </c>
    </row>
    <row r="146" spans="2:5" x14ac:dyDescent="0.25">
      <c r="B146">
        <v>34.43</v>
      </c>
      <c r="C146" s="21">
        <v>17.14</v>
      </c>
      <c r="D146">
        <f t="shared" si="2"/>
        <v>3.5389282773504322</v>
      </c>
      <c r="E146">
        <f t="shared" si="2"/>
        <v>2.8414149131696336</v>
      </c>
    </row>
    <row r="147" spans="2:5" x14ac:dyDescent="0.25">
      <c r="B147">
        <v>35.79</v>
      </c>
      <c r="C147" s="21">
        <v>16.38</v>
      </c>
      <c r="D147">
        <f t="shared" si="2"/>
        <v>3.5776685247779345</v>
      </c>
      <c r="E147">
        <f t="shared" si="2"/>
        <v>2.7960610784249234</v>
      </c>
    </row>
    <row r="148" spans="2:5" x14ac:dyDescent="0.25">
      <c r="B148">
        <v>34.57</v>
      </c>
      <c r="C148" s="21">
        <v>16.89</v>
      </c>
      <c r="D148">
        <f t="shared" si="2"/>
        <v>3.5429862539335333</v>
      </c>
      <c r="E148">
        <f t="shared" si="2"/>
        <v>2.8267217308197088</v>
      </c>
    </row>
    <row r="149" spans="2:5" x14ac:dyDescent="0.25">
      <c r="B149">
        <v>36.82</v>
      </c>
      <c r="C149" s="21">
        <v>17.21</v>
      </c>
      <c r="D149">
        <f t="shared" si="2"/>
        <v>3.6060411758049318</v>
      </c>
      <c r="E149">
        <f t="shared" si="2"/>
        <v>2.8454906102234481</v>
      </c>
    </row>
    <row r="150" spans="2:5" x14ac:dyDescent="0.25">
      <c r="B150">
        <v>46.22</v>
      </c>
      <c r="C150" s="21">
        <v>11.86</v>
      </c>
      <c r="D150">
        <f t="shared" si="2"/>
        <v>3.8334126048462345</v>
      </c>
      <c r="E150">
        <f t="shared" si="2"/>
        <v>2.4731713935695794</v>
      </c>
    </row>
    <row r="151" spans="2:5" x14ac:dyDescent="0.25">
      <c r="B151">
        <v>28.33</v>
      </c>
      <c r="C151" s="21">
        <v>12.78</v>
      </c>
      <c r="D151">
        <f t="shared" si="2"/>
        <v>3.3439213138424253</v>
      </c>
      <c r="E151">
        <f t="shared" si="2"/>
        <v>2.5478814489493886</v>
      </c>
    </row>
    <row r="152" spans="2:5" x14ac:dyDescent="0.25">
      <c r="B152">
        <v>46.59</v>
      </c>
      <c r="C152" s="21">
        <v>13.27</v>
      </c>
      <c r="D152">
        <f t="shared" si="2"/>
        <v>3.8413859258287055</v>
      </c>
      <c r="E152">
        <f t="shared" si="2"/>
        <v>2.5855058483441162</v>
      </c>
    </row>
    <row r="153" spans="2:5" x14ac:dyDescent="0.25">
      <c r="B153">
        <v>31.09</v>
      </c>
      <c r="C153" s="21">
        <v>16.39</v>
      </c>
      <c r="D153">
        <f t="shared" si="2"/>
        <v>3.4368862240706624</v>
      </c>
      <c r="E153">
        <f t="shared" si="2"/>
        <v>2.7966713927557385</v>
      </c>
    </row>
    <row r="154" spans="2:5" x14ac:dyDescent="0.25">
      <c r="B154">
        <v>40.840000000000003</v>
      </c>
      <c r="C154" s="21">
        <v>11.53</v>
      </c>
      <c r="D154">
        <f t="shared" si="2"/>
        <v>3.7096619932964647</v>
      </c>
      <c r="E154">
        <f t="shared" si="2"/>
        <v>2.4449523342809676</v>
      </c>
    </row>
    <row r="155" spans="2:5" x14ac:dyDescent="0.25">
      <c r="B155">
        <v>29.19</v>
      </c>
      <c r="C155" s="21">
        <v>11.58</v>
      </c>
      <c r="D155">
        <f t="shared" si="2"/>
        <v>3.3738261848660236</v>
      </c>
      <c r="E155">
        <f t="shared" si="2"/>
        <v>2.4492794721448492</v>
      </c>
    </row>
    <row r="156" spans="2:5" x14ac:dyDescent="0.25">
      <c r="B156">
        <v>35.659999999999997</v>
      </c>
      <c r="C156" s="21">
        <v>10.8</v>
      </c>
      <c r="D156">
        <f t="shared" si="2"/>
        <v>3.5740296124349942</v>
      </c>
      <c r="E156">
        <f t="shared" si="2"/>
        <v>2.379546134130174</v>
      </c>
    </row>
    <row r="157" spans="2:5" x14ac:dyDescent="0.25">
      <c r="B157">
        <v>35.89</v>
      </c>
      <c r="C157" s="21">
        <v>10.87</v>
      </c>
      <c r="D157">
        <f t="shared" si="2"/>
        <v>3.5804587051595158</v>
      </c>
      <c r="E157">
        <f t="shared" si="2"/>
        <v>2.3860067011331179</v>
      </c>
    </row>
    <row r="158" spans="2:5" x14ac:dyDescent="0.25">
      <c r="B158">
        <v>39.729999999999997</v>
      </c>
      <c r="C158" s="21">
        <v>11.6</v>
      </c>
      <c r="D158">
        <f t="shared" si="2"/>
        <v>3.6821065698265074</v>
      </c>
      <c r="E158">
        <f t="shared" si="2"/>
        <v>2.451005098112319</v>
      </c>
    </row>
    <row r="159" spans="2:5" x14ac:dyDescent="0.25">
      <c r="B159">
        <v>42.05</v>
      </c>
      <c r="C159" s="21">
        <v>9.93</v>
      </c>
      <c r="D159">
        <f t="shared" si="2"/>
        <v>3.738859386418957</v>
      </c>
      <c r="E159">
        <f t="shared" si="2"/>
        <v>2.2955604780570811</v>
      </c>
    </row>
    <row r="160" spans="2:5" x14ac:dyDescent="0.25">
      <c r="B160">
        <v>31.62</v>
      </c>
      <c r="C160" s="21">
        <v>10.17</v>
      </c>
      <c r="D160">
        <f t="shared" si="2"/>
        <v>3.453789831781326</v>
      </c>
      <c r="E160">
        <f t="shared" si="2"/>
        <v>2.3194422100604686</v>
      </c>
    </row>
    <row r="161" spans="2:5" x14ac:dyDescent="0.25">
      <c r="B161">
        <v>34.03</v>
      </c>
      <c r="C161" s="21">
        <v>12.55</v>
      </c>
      <c r="D161">
        <f t="shared" si="2"/>
        <v>3.5272424885128144</v>
      </c>
      <c r="E161">
        <f t="shared" si="2"/>
        <v>2.5297206655777931</v>
      </c>
    </row>
    <row r="162" spans="2:5" x14ac:dyDescent="0.25">
      <c r="B162">
        <v>34.17</v>
      </c>
      <c r="C162" s="21">
        <v>10.95</v>
      </c>
      <c r="D162">
        <f t="shared" si="2"/>
        <v>3.5313480661272005</v>
      </c>
      <c r="E162">
        <f t="shared" si="2"/>
        <v>2.3933394562625097</v>
      </c>
    </row>
    <row r="163" spans="2:5" x14ac:dyDescent="0.25">
      <c r="B163">
        <v>29.62</v>
      </c>
      <c r="C163" s="21">
        <v>11.28</v>
      </c>
      <c r="D163">
        <f t="shared" si="2"/>
        <v>3.3884498088396526</v>
      </c>
      <c r="E163">
        <f t="shared" si="2"/>
        <v>2.4230312460699128</v>
      </c>
    </row>
    <row r="164" spans="2:5" x14ac:dyDescent="0.25">
      <c r="B164">
        <v>33.4</v>
      </c>
      <c r="C164" s="21">
        <v>10.79</v>
      </c>
      <c r="D164">
        <f t="shared" si="2"/>
        <v>3.5085558999826545</v>
      </c>
      <c r="E164">
        <f t="shared" si="2"/>
        <v>2.3786197792700432</v>
      </c>
    </row>
    <row r="165" spans="2:5" x14ac:dyDescent="0.25">
      <c r="B165">
        <v>35.07</v>
      </c>
      <c r="C165" s="21">
        <v>9.7899999999999991</v>
      </c>
      <c r="D165">
        <f t="shared" si="2"/>
        <v>3.5573460641520867</v>
      </c>
      <c r="E165">
        <f t="shared" si="2"/>
        <v>2.281361456542419</v>
      </c>
    </row>
    <row r="166" spans="2:5" x14ac:dyDescent="0.25">
      <c r="B166">
        <v>29.82</v>
      </c>
      <c r="C166" s="21">
        <v>11.77</v>
      </c>
      <c r="D166">
        <f t="shared" si="2"/>
        <v>3.3951793093365925</v>
      </c>
      <c r="E166">
        <f t="shared" si="2"/>
        <v>2.4655539212721855</v>
      </c>
    </row>
    <row r="167" spans="2:5" x14ac:dyDescent="0.25">
      <c r="B167">
        <v>34.43</v>
      </c>
      <c r="C167" s="21">
        <v>10.14</v>
      </c>
      <c r="D167">
        <f t="shared" si="2"/>
        <v>3.5389282773504322</v>
      </c>
      <c r="E167">
        <f t="shared" si="2"/>
        <v>2.3164879981630371</v>
      </c>
    </row>
    <row r="168" spans="2:5" x14ac:dyDescent="0.25">
      <c r="B168">
        <v>37.96</v>
      </c>
      <c r="C168" s="21">
        <v>8.08</v>
      </c>
      <c r="D168">
        <f t="shared" si="2"/>
        <v>3.6365329737417271</v>
      </c>
      <c r="E168">
        <f t="shared" si="2"/>
        <v>2.0893918725330041</v>
      </c>
    </row>
    <row r="169" spans="2:5" x14ac:dyDescent="0.25">
      <c r="B169">
        <v>51.36</v>
      </c>
      <c r="C169" s="21">
        <v>9.93</v>
      </c>
      <c r="D169">
        <f t="shared" si="2"/>
        <v>3.9388596593817056</v>
      </c>
      <c r="E169">
        <f t="shared" si="2"/>
        <v>2.2955604780570811</v>
      </c>
    </row>
    <row r="170" spans="2:5" x14ac:dyDescent="0.25">
      <c r="B170">
        <v>45.69</v>
      </c>
      <c r="C170" s="21">
        <v>8.5500000000000007</v>
      </c>
      <c r="D170">
        <f t="shared" si="2"/>
        <v>3.8218794555751803</v>
      </c>
      <c r="E170">
        <f t="shared" si="2"/>
        <v>2.145931282948669</v>
      </c>
    </row>
    <row r="171" spans="2:5" x14ac:dyDescent="0.25">
      <c r="B171">
        <v>40.93</v>
      </c>
      <c r="C171" s="21">
        <v>8.09</v>
      </c>
      <c r="D171">
        <f t="shared" si="2"/>
        <v>3.7118632905043114</v>
      </c>
      <c r="E171">
        <f t="shared" si="2"/>
        <v>2.0906287310704004</v>
      </c>
    </row>
    <row r="172" spans="2:5" x14ac:dyDescent="0.25">
      <c r="B172">
        <v>39.32</v>
      </c>
      <c r="C172" s="21">
        <v>9.61</v>
      </c>
      <c r="D172">
        <f t="shared" si="2"/>
        <v>3.6717332952789659</v>
      </c>
      <c r="E172">
        <f t="shared" si="2"/>
        <v>2.2628042229822012</v>
      </c>
    </row>
    <row r="173" spans="2:5" x14ac:dyDescent="0.25">
      <c r="B173">
        <v>48.28</v>
      </c>
      <c r="C173" s="21">
        <v>11.37</v>
      </c>
      <c r="D173">
        <f t="shared" si="2"/>
        <v>3.8770173962293306</v>
      </c>
      <c r="E173">
        <f t="shared" si="2"/>
        <v>2.4309783077624445</v>
      </c>
    </row>
    <row r="174" spans="2:5" x14ac:dyDescent="0.25">
      <c r="B174">
        <v>48.28</v>
      </c>
      <c r="C174" s="21">
        <v>9.74</v>
      </c>
      <c r="D174">
        <f t="shared" si="2"/>
        <v>3.8770173962293306</v>
      </c>
      <c r="E174">
        <f t="shared" si="2"/>
        <v>2.2762411176544437</v>
      </c>
    </row>
    <row r="175" spans="2:5" x14ac:dyDescent="0.25">
      <c r="B175">
        <v>38.299999999999997</v>
      </c>
      <c r="C175" s="21">
        <v>7.59</v>
      </c>
      <c r="D175">
        <f t="shared" si="2"/>
        <v>3.6454498961866002</v>
      </c>
      <c r="E175">
        <f t="shared" si="2"/>
        <v>2.0268315914075385</v>
      </c>
    </row>
    <row r="176" spans="2:5" x14ac:dyDescent="0.25">
      <c r="B176">
        <v>36.71</v>
      </c>
      <c r="C176" s="21">
        <v>7.48</v>
      </c>
      <c r="D176">
        <f t="shared" si="2"/>
        <v>3.6030491975087431</v>
      </c>
      <c r="E176">
        <f t="shared" si="2"/>
        <v>2.0122327919863858</v>
      </c>
    </row>
    <row r="177" spans="2:5" x14ac:dyDescent="0.25">
      <c r="B177">
        <v>38.25</v>
      </c>
      <c r="C177" s="21">
        <v>8.24</v>
      </c>
      <c r="D177">
        <f t="shared" si="2"/>
        <v>3.6441435602725449</v>
      </c>
      <c r="E177">
        <f t="shared" si="2"/>
        <v>2.1090003439213802</v>
      </c>
    </row>
    <row r="178" spans="2:5" x14ac:dyDescent="0.25">
      <c r="B178">
        <v>38.29</v>
      </c>
      <c r="C178" s="21">
        <v>9.56</v>
      </c>
      <c r="D178">
        <f t="shared" si="2"/>
        <v>3.6451887654892032</v>
      </c>
      <c r="E178">
        <f t="shared" si="2"/>
        <v>2.25758772706331</v>
      </c>
    </row>
    <row r="179" spans="2:5" x14ac:dyDescent="0.25">
      <c r="B179">
        <v>31.08</v>
      </c>
      <c r="C179" s="21">
        <v>8.85</v>
      </c>
      <c r="D179">
        <f t="shared" si="2"/>
        <v>3.4365645254994468</v>
      </c>
      <c r="E179">
        <f t="shared" si="2"/>
        <v>2.180417459019838</v>
      </c>
    </row>
    <row r="180" spans="2:5" x14ac:dyDescent="0.25">
      <c r="B180">
        <v>31.5</v>
      </c>
      <c r="C180" s="21">
        <v>8.0299999999999994</v>
      </c>
      <c r="D180">
        <f t="shared" si="2"/>
        <v>3.4499875458315872</v>
      </c>
      <c r="E180">
        <f t="shared" si="2"/>
        <v>2.0831845279586703</v>
      </c>
    </row>
    <row r="181" spans="2:5" x14ac:dyDescent="0.25">
      <c r="B181">
        <v>31.02</v>
      </c>
      <c r="C181" s="21">
        <v>7.63</v>
      </c>
      <c r="D181">
        <f t="shared" si="2"/>
        <v>3.4346321577483927</v>
      </c>
      <c r="E181">
        <f t="shared" si="2"/>
        <v>2.0320878452963655</v>
      </c>
    </row>
    <row r="182" spans="2:5" x14ac:dyDescent="0.25">
      <c r="B182">
        <v>36.619999999999997</v>
      </c>
      <c r="C182" s="21">
        <v>8.48</v>
      </c>
      <c r="D182">
        <f t="shared" si="2"/>
        <v>3.6005945392463645</v>
      </c>
      <c r="E182">
        <f t="shared" si="2"/>
        <v>2.1377104498038118</v>
      </c>
    </row>
    <row r="183" spans="2:5" x14ac:dyDescent="0.25">
      <c r="B183">
        <v>46.31</v>
      </c>
      <c r="C183" s="21">
        <v>7.54</v>
      </c>
      <c r="D183">
        <f t="shared" si="2"/>
        <v>3.8353579204926604</v>
      </c>
      <c r="E183">
        <f t="shared" si="2"/>
        <v>2.0202221820198649</v>
      </c>
    </row>
    <row r="184" spans="2:5" x14ac:dyDescent="0.25">
      <c r="B184">
        <v>31.34</v>
      </c>
      <c r="C184" s="21">
        <v>7.36</v>
      </c>
      <c r="D184">
        <f t="shared" si="2"/>
        <v>3.4448952369278749</v>
      </c>
      <c r="E184">
        <f t="shared" si="2"/>
        <v>1.9960599327407849</v>
      </c>
    </row>
    <row r="185" spans="2:5" x14ac:dyDescent="0.25">
      <c r="B185">
        <v>38.54</v>
      </c>
      <c r="C185" s="21">
        <v>7.55</v>
      </c>
      <c r="D185">
        <f t="shared" si="2"/>
        <v>3.6516966629862204</v>
      </c>
      <c r="E185">
        <f t="shared" si="2"/>
        <v>2.0215475632609334</v>
      </c>
    </row>
    <row r="186" spans="2:5" x14ac:dyDescent="0.25">
      <c r="B186">
        <v>38.49</v>
      </c>
      <c r="C186" s="21">
        <v>6.28</v>
      </c>
      <c r="D186">
        <f t="shared" si="2"/>
        <v>3.6503984672956546</v>
      </c>
      <c r="E186">
        <f t="shared" si="2"/>
        <v>1.8373699804801074</v>
      </c>
    </row>
    <row r="187" spans="2:5" x14ac:dyDescent="0.25">
      <c r="B187">
        <v>28.17</v>
      </c>
      <c r="C187" s="21">
        <v>7.26</v>
      </c>
      <c r="D187">
        <f t="shared" si="2"/>
        <v>3.3382575818882811</v>
      </c>
      <c r="E187">
        <f t="shared" si="2"/>
        <v>1.9823798288367047</v>
      </c>
    </row>
    <row r="188" spans="2:5" x14ac:dyDescent="0.25">
      <c r="B188">
        <v>31.62</v>
      </c>
      <c r="C188" s="21">
        <v>7.53</v>
      </c>
      <c r="D188">
        <f t="shared" si="2"/>
        <v>3.453789831781326</v>
      </c>
      <c r="E188">
        <f t="shared" si="2"/>
        <v>2.0188950418118021</v>
      </c>
    </row>
    <row r="189" spans="2:5" x14ac:dyDescent="0.25">
      <c r="B189">
        <v>30.85</v>
      </c>
      <c r="C189" s="21">
        <v>7.3</v>
      </c>
      <c r="D189">
        <f t="shared" si="2"/>
        <v>3.4291367503513968</v>
      </c>
      <c r="E189">
        <f t="shared" si="2"/>
        <v>1.9878743481543455</v>
      </c>
    </row>
    <row r="190" spans="2:5" x14ac:dyDescent="0.25">
      <c r="B190">
        <v>35.159999999999997</v>
      </c>
      <c r="C190" s="21">
        <v>7.11</v>
      </c>
      <c r="D190">
        <f t="shared" si="2"/>
        <v>3.5599090728169762</v>
      </c>
      <c r="E190">
        <f t="shared" si="2"/>
        <v>1.9615022438151495</v>
      </c>
    </row>
    <row r="191" spans="2:5" x14ac:dyDescent="0.25">
      <c r="B191">
        <v>34.25</v>
      </c>
      <c r="C191" s="21">
        <v>6.71</v>
      </c>
      <c r="D191">
        <f t="shared" si="2"/>
        <v>3.5336865647082343</v>
      </c>
      <c r="E191">
        <f t="shared" si="2"/>
        <v>1.9035989509835904</v>
      </c>
    </row>
    <row r="192" spans="2:5" x14ac:dyDescent="0.25">
      <c r="B192">
        <v>40.76</v>
      </c>
      <c r="C192" s="21">
        <v>8.4600000000000009</v>
      </c>
      <c r="D192">
        <f t="shared" si="2"/>
        <v>3.707701208354524</v>
      </c>
      <c r="E192">
        <f t="shared" si="2"/>
        <v>2.135349173618132</v>
      </c>
    </row>
    <row r="193" spans="2:5" x14ac:dyDescent="0.25">
      <c r="B193">
        <v>30.82</v>
      </c>
      <c r="C193" s="21">
        <v>7.32</v>
      </c>
      <c r="D193">
        <f t="shared" si="2"/>
        <v>3.4281638298919699</v>
      </c>
      <c r="E193">
        <f t="shared" si="2"/>
        <v>1.9906103279732201</v>
      </c>
    </row>
    <row r="194" spans="2:5" x14ac:dyDescent="0.25">
      <c r="B194">
        <v>48.11</v>
      </c>
      <c r="C194" s="21">
        <v>6.88</v>
      </c>
      <c r="D194">
        <f t="shared" si="2"/>
        <v>3.8734900557113625</v>
      </c>
      <c r="E194">
        <f t="shared" si="2"/>
        <v>1.9286186519452522</v>
      </c>
    </row>
    <row r="195" spans="2:5" x14ac:dyDescent="0.25">
      <c r="B195">
        <v>33.06</v>
      </c>
      <c r="C195" s="21">
        <v>7.41</v>
      </c>
      <c r="D195">
        <f t="shared" ref="D195:E248" si="3">LN(B195)</f>
        <v>3.498324092392878</v>
      </c>
      <c r="E195">
        <f t="shared" si="3"/>
        <v>2.0028304393079956</v>
      </c>
    </row>
    <row r="196" spans="2:5" x14ac:dyDescent="0.25">
      <c r="B196">
        <v>34.25</v>
      </c>
      <c r="C196" s="21">
        <v>8.3800000000000008</v>
      </c>
      <c r="D196">
        <f t="shared" si="3"/>
        <v>3.5336865647082343</v>
      </c>
      <c r="E196">
        <f t="shared" si="3"/>
        <v>2.1258479144939919</v>
      </c>
    </row>
    <row r="197" spans="2:5" x14ac:dyDescent="0.25">
      <c r="B197">
        <v>33.08</v>
      </c>
      <c r="C197" s="21">
        <v>6.35</v>
      </c>
      <c r="D197">
        <f t="shared" si="3"/>
        <v>3.4989288701554906</v>
      </c>
      <c r="E197">
        <f t="shared" si="3"/>
        <v>1.8484548129046001</v>
      </c>
    </row>
    <row r="198" spans="2:5" x14ac:dyDescent="0.25">
      <c r="B198">
        <v>38.01</v>
      </c>
      <c r="C198" s="21">
        <v>8.0299999999999994</v>
      </c>
      <c r="D198">
        <f t="shared" si="3"/>
        <v>3.6378492830011573</v>
      </c>
      <c r="E198">
        <f t="shared" si="3"/>
        <v>2.0831845279586703</v>
      </c>
    </row>
    <row r="199" spans="2:5" x14ac:dyDescent="0.25">
      <c r="B199">
        <v>40.76</v>
      </c>
      <c r="C199" s="21">
        <v>6.83</v>
      </c>
      <c r="D199">
        <f t="shared" si="3"/>
        <v>3.707701208354524</v>
      </c>
      <c r="E199">
        <f t="shared" si="3"/>
        <v>1.9213246735826988</v>
      </c>
    </row>
    <row r="200" spans="2:5" x14ac:dyDescent="0.25">
      <c r="B200">
        <v>28.77</v>
      </c>
      <c r="C200" s="21">
        <v>5.97</v>
      </c>
      <c r="D200">
        <f t="shared" si="3"/>
        <v>3.3593331775634567</v>
      </c>
      <c r="E200">
        <f t="shared" si="3"/>
        <v>1.7867469274045107</v>
      </c>
    </row>
    <row r="201" spans="2:5" x14ac:dyDescent="0.25">
      <c r="B201">
        <v>30.85</v>
      </c>
      <c r="C201" s="21">
        <v>9.06</v>
      </c>
      <c r="D201">
        <f t="shared" si="3"/>
        <v>3.4291367503513968</v>
      </c>
      <c r="E201">
        <f t="shared" si="3"/>
        <v>2.2038691200548879</v>
      </c>
    </row>
    <row r="202" spans="2:5" x14ac:dyDescent="0.25">
      <c r="B202">
        <v>30.86</v>
      </c>
      <c r="C202" s="21">
        <v>6.23</v>
      </c>
      <c r="D202">
        <f t="shared" si="3"/>
        <v>3.4294608469350147</v>
      </c>
      <c r="E202">
        <f t="shared" si="3"/>
        <v>1.8293763327993617</v>
      </c>
    </row>
    <row r="203" spans="2:5" x14ac:dyDescent="0.25">
      <c r="B203">
        <v>33.4</v>
      </c>
      <c r="C203" s="21">
        <v>6.64</v>
      </c>
      <c r="D203">
        <f t="shared" si="3"/>
        <v>3.5085558999826545</v>
      </c>
      <c r="E203">
        <f t="shared" si="3"/>
        <v>1.8931119634883424</v>
      </c>
    </row>
    <row r="204" spans="2:5" x14ac:dyDescent="0.25">
      <c r="B204">
        <v>27.29</v>
      </c>
      <c r="C204" s="21">
        <v>6.68</v>
      </c>
      <c r="D204">
        <f t="shared" si="3"/>
        <v>3.306520334720247</v>
      </c>
      <c r="E204">
        <f t="shared" si="3"/>
        <v>1.8991179875485542</v>
      </c>
    </row>
    <row r="205" spans="2:5" x14ac:dyDescent="0.25">
      <c r="B205">
        <v>32.17</v>
      </c>
      <c r="C205" s="21">
        <v>7.34</v>
      </c>
      <c r="D205">
        <f t="shared" si="3"/>
        <v>3.471034341250935</v>
      </c>
      <c r="E205">
        <f t="shared" si="3"/>
        <v>1.9933388426264242</v>
      </c>
    </row>
    <row r="206" spans="2:5" x14ac:dyDescent="0.25">
      <c r="B206">
        <v>42.92</v>
      </c>
      <c r="C206" s="21">
        <v>7.62</v>
      </c>
      <c r="D206">
        <f t="shared" si="3"/>
        <v>3.7593379177624979</v>
      </c>
      <c r="E206">
        <f t="shared" si="3"/>
        <v>2.0307763696985548</v>
      </c>
    </row>
    <row r="207" spans="2:5" x14ac:dyDescent="0.25">
      <c r="B207">
        <v>38.71</v>
      </c>
      <c r="C207" s="21">
        <v>7.05</v>
      </c>
      <c r="D207">
        <f t="shared" si="3"/>
        <v>3.6560979645895566</v>
      </c>
      <c r="E207">
        <f t="shared" si="3"/>
        <v>1.9530276168241774</v>
      </c>
    </row>
    <row r="208" spans="2:5" x14ac:dyDescent="0.25">
      <c r="B208">
        <v>34.74</v>
      </c>
      <c r="C208" s="21">
        <v>7.43</v>
      </c>
      <c r="D208">
        <f t="shared" si="3"/>
        <v>3.5478917608129588</v>
      </c>
      <c r="E208">
        <f t="shared" si="3"/>
        <v>2.0055258587296678</v>
      </c>
    </row>
    <row r="209" spans="2:5" x14ac:dyDescent="0.25">
      <c r="B209">
        <v>33.840000000000003</v>
      </c>
      <c r="C209" s="21">
        <v>6.22</v>
      </c>
      <c r="D209">
        <f t="shared" si="3"/>
        <v>3.5216435347380228</v>
      </c>
      <c r="E209">
        <f t="shared" si="3"/>
        <v>1.827769906751088</v>
      </c>
    </row>
    <row r="210" spans="2:5" x14ac:dyDescent="0.25">
      <c r="B210">
        <v>29.68</v>
      </c>
      <c r="C210" s="21">
        <v>8.16</v>
      </c>
      <c r="D210">
        <f t="shared" si="3"/>
        <v>3.3904734182991798</v>
      </c>
      <c r="E210">
        <f t="shared" si="3"/>
        <v>2.0992441689760155</v>
      </c>
    </row>
    <row r="211" spans="2:5" x14ac:dyDescent="0.25">
      <c r="B211">
        <v>35.17</v>
      </c>
      <c r="C211" s="21">
        <v>7.19</v>
      </c>
      <c r="D211">
        <f t="shared" si="3"/>
        <v>3.5601934464858913</v>
      </c>
      <c r="E211">
        <f t="shared" si="3"/>
        <v>1.9726911717329554</v>
      </c>
    </row>
    <row r="212" spans="2:5" x14ac:dyDescent="0.25">
      <c r="B212">
        <v>42.44</v>
      </c>
      <c r="C212" s="21">
        <v>6.78</v>
      </c>
      <c r="D212">
        <f t="shared" si="3"/>
        <v>3.7480913137457823</v>
      </c>
      <c r="E212">
        <f t="shared" si="3"/>
        <v>1.9139771019523042</v>
      </c>
    </row>
    <row r="213" spans="2:5" x14ac:dyDescent="0.25">
      <c r="B213">
        <v>30.49</v>
      </c>
      <c r="C213" s="21">
        <v>7.11</v>
      </c>
      <c r="D213">
        <f t="shared" si="3"/>
        <v>3.4173987610001633</v>
      </c>
      <c r="E213">
        <f t="shared" si="3"/>
        <v>1.9615022438151495</v>
      </c>
    </row>
    <row r="214" spans="2:5" x14ac:dyDescent="0.25">
      <c r="B214">
        <v>48.28</v>
      </c>
      <c r="C214" s="21">
        <v>6.98</v>
      </c>
      <c r="D214">
        <f t="shared" si="3"/>
        <v>3.8770173962293306</v>
      </c>
      <c r="E214">
        <f t="shared" si="3"/>
        <v>1.9430489167742813</v>
      </c>
    </row>
    <row r="215" spans="2:5" x14ac:dyDescent="0.25">
      <c r="B215">
        <v>47.08</v>
      </c>
      <c r="C215" s="21">
        <v>6.81</v>
      </c>
      <c r="D215">
        <f t="shared" si="3"/>
        <v>3.8518482823920759</v>
      </c>
      <c r="E215">
        <f t="shared" si="3"/>
        <v>1.9183921201614209</v>
      </c>
    </row>
    <row r="216" spans="2:5" x14ac:dyDescent="0.25">
      <c r="B216">
        <v>43.75</v>
      </c>
      <c r="C216" s="21">
        <v>5.68</v>
      </c>
      <c r="D216">
        <f t="shared" si="3"/>
        <v>3.7784916128036232</v>
      </c>
      <c r="E216">
        <f t="shared" si="3"/>
        <v>1.7369512327330598</v>
      </c>
    </row>
    <row r="217" spans="2:5" x14ac:dyDescent="0.25">
      <c r="B217">
        <v>29.19</v>
      </c>
      <c r="C217" s="21">
        <v>8.07</v>
      </c>
      <c r="D217">
        <f t="shared" si="3"/>
        <v>3.3738261848660236</v>
      </c>
      <c r="E217">
        <f t="shared" si="3"/>
        <v>2.0881534822818573</v>
      </c>
    </row>
    <row r="218" spans="2:5" x14ac:dyDescent="0.25">
      <c r="B218">
        <v>33.35</v>
      </c>
      <c r="C218" s="21">
        <v>6.93</v>
      </c>
      <c r="D218">
        <f t="shared" si="3"/>
        <v>3.507057772361633</v>
      </c>
      <c r="E218">
        <f t="shared" si="3"/>
        <v>1.9358598132018119</v>
      </c>
    </row>
    <row r="219" spans="2:5" x14ac:dyDescent="0.25">
      <c r="B219">
        <v>30.86</v>
      </c>
      <c r="C219" s="21">
        <v>5.47</v>
      </c>
      <c r="D219">
        <f t="shared" si="3"/>
        <v>3.4294608469350147</v>
      </c>
      <c r="E219">
        <f t="shared" si="3"/>
        <v>1.6992786164338898</v>
      </c>
    </row>
    <row r="220" spans="2:5" x14ac:dyDescent="0.25">
      <c r="B220">
        <v>47.08</v>
      </c>
      <c r="C220" s="21">
        <v>5.85</v>
      </c>
      <c r="D220">
        <f t="shared" si="3"/>
        <v>3.8518482823920759</v>
      </c>
      <c r="E220">
        <f t="shared" si="3"/>
        <v>1.766441661243765</v>
      </c>
    </row>
    <row r="221" spans="2:5" x14ac:dyDescent="0.25">
      <c r="B221">
        <v>48.28</v>
      </c>
      <c r="C221" s="21">
        <v>5.56</v>
      </c>
      <c r="D221">
        <f t="shared" si="3"/>
        <v>3.8770173962293306</v>
      </c>
      <c r="E221">
        <f t="shared" si="3"/>
        <v>1.7155981082624909</v>
      </c>
    </row>
    <row r="222" spans="2:5" x14ac:dyDescent="0.25">
      <c r="B222">
        <v>35.6</v>
      </c>
      <c r="C222" s="21">
        <v>4.49</v>
      </c>
      <c r="D222">
        <f t="shared" si="3"/>
        <v>3.572345637857985</v>
      </c>
      <c r="E222">
        <f t="shared" si="3"/>
        <v>1.501852701754163</v>
      </c>
    </row>
    <row r="223" spans="2:5" x14ac:dyDescent="0.25">
      <c r="B223">
        <v>42.34</v>
      </c>
      <c r="C223" s="21">
        <v>5.26</v>
      </c>
      <c r="D223">
        <f t="shared" si="3"/>
        <v>3.7457322657067191</v>
      </c>
      <c r="E223">
        <f t="shared" si="3"/>
        <v>1.6601310267496185</v>
      </c>
    </row>
    <row r="224" spans="2:5" x14ac:dyDescent="0.25">
      <c r="B224">
        <v>30.85</v>
      </c>
      <c r="C224" s="21">
        <v>6.64</v>
      </c>
      <c r="D224">
        <f t="shared" si="3"/>
        <v>3.4291367503513968</v>
      </c>
      <c r="E224">
        <f t="shared" si="3"/>
        <v>1.8931119634883424</v>
      </c>
    </row>
    <row r="225" spans="2:5" x14ac:dyDescent="0.25">
      <c r="B225">
        <v>32.85</v>
      </c>
      <c r="C225" s="21">
        <v>5.31</v>
      </c>
      <c r="D225">
        <f t="shared" si="3"/>
        <v>3.4919517449306197</v>
      </c>
      <c r="E225">
        <f t="shared" si="3"/>
        <v>1.6695918352538475</v>
      </c>
    </row>
    <row r="226" spans="2:5" x14ac:dyDescent="0.25">
      <c r="B226">
        <v>34.25</v>
      </c>
      <c r="C226" s="21">
        <v>5.81</v>
      </c>
      <c r="D226">
        <f t="shared" si="3"/>
        <v>3.5336865647082343</v>
      </c>
      <c r="E226">
        <f t="shared" si="3"/>
        <v>1.7595805708638197</v>
      </c>
    </row>
    <row r="227" spans="2:5" x14ac:dyDescent="0.25">
      <c r="B227">
        <v>32.229999999999997</v>
      </c>
      <c r="C227" s="21">
        <v>4.3099999999999996</v>
      </c>
      <c r="D227">
        <f t="shared" si="3"/>
        <v>3.4728976958273465</v>
      </c>
      <c r="E227">
        <f t="shared" si="3"/>
        <v>1.4609379041156563</v>
      </c>
    </row>
    <row r="228" spans="2:5" x14ac:dyDescent="0.25">
      <c r="B228">
        <v>38.869999999999997</v>
      </c>
      <c r="C228" s="21">
        <v>4.79</v>
      </c>
      <c r="D228">
        <f t="shared" si="3"/>
        <v>3.6602227448641318</v>
      </c>
      <c r="E228">
        <f t="shared" si="3"/>
        <v>1.5665304114228238</v>
      </c>
    </row>
    <row r="229" spans="2:5" x14ac:dyDescent="0.25">
      <c r="B229">
        <v>47.49</v>
      </c>
      <c r="C229" s="21">
        <v>5.93</v>
      </c>
      <c r="D229">
        <f t="shared" si="3"/>
        <v>3.8605191625610304</v>
      </c>
      <c r="E229">
        <f t="shared" si="3"/>
        <v>1.780024213009634</v>
      </c>
    </row>
    <row r="230" spans="2:5" x14ac:dyDescent="0.25">
      <c r="B230">
        <v>28.33</v>
      </c>
      <c r="C230" s="21">
        <v>5.87</v>
      </c>
      <c r="D230">
        <f t="shared" si="3"/>
        <v>3.3439213138424253</v>
      </c>
      <c r="E230">
        <f t="shared" si="3"/>
        <v>1.7698546338400052</v>
      </c>
    </row>
    <row r="231" spans="2:5" x14ac:dyDescent="0.25">
      <c r="B231">
        <v>38.869999999999997</v>
      </c>
      <c r="C231" s="21">
        <v>5.27</v>
      </c>
      <c r="D231">
        <f t="shared" si="3"/>
        <v>3.6602227448641318</v>
      </c>
      <c r="E231">
        <f t="shared" si="3"/>
        <v>1.6620303625532709</v>
      </c>
    </row>
    <row r="232" spans="2:5" x14ac:dyDescent="0.25">
      <c r="B232">
        <v>39.5</v>
      </c>
      <c r="C232" s="21">
        <v>5.0999999999999996</v>
      </c>
      <c r="D232">
        <f t="shared" si="3"/>
        <v>3.6763006719070761</v>
      </c>
      <c r="E232">
        <f t="shared" si="3"/>
        <v>1.62924053973028</v>
      </c>
    </row>
    <row r="233" spans="2:5" x14ac:dyDescent="0.25">
      <c r="B233">
        <v>29.89</v>
      </c>
      <c r="C233" s="21">
        <v>6.19</v>
      </c>
      <c r="D233">
        <f t="shared" si="3"/>
        <v>3.3975239762958465</v>
      </c>
      <c r="E233">
        <f t="shared" si="3"/>
        <v>1.8229350866965048</v>
      </c>
    </row>
    <row r="234" spans="2:5" x14ac:dyDescent="0.25">
      <c r="B234">
        <v>29.82</v>
      </c>
      <c r="C234" s="21">
        <v>5.0599999999999996</v>
      </c>
      <c r="D234">
        <f t="shared" si="3"/>
        <v>3.3951793093365925</v>
      </c>
      <c r="E234">
        <f t="shared" si="3"/>
        <v>1.6213664832993742</v>
      </c>
    </row>
    <row r="235" spans="2:5" x14ac:dyDescent="0.25">
      <c r="B235">
        <v>34.43</v>
      </c>
      <c r="C235" s="21">
        <v>4.41</v>
      </c>
      <c r="D235">
        <f t="shared" si="3"/>
        <v>3.5389282773504322</v>
      </c>
      <c r="E235">
        <f t="shared" si="3"/>
        <v>1.4838746894587547</v>
      </c>
    </row>
    <row r="236" spans="2:5" x14ac:dyDescent="0.25">
      <c r="B236">
        <v>37.53</v>
      </c>
      <c r="C236" s="21">
        <v>4.4000000000000004</v>
      </c>
      <c r="D236">
        <f t="shared" si="3"/>
        <v>3.6251406131469297</v>
      </c>
      <c r="E236">
        <f t="shared" si="3"/>
        <v>1.4816045409242156</v>
      </c>
    </row>
    <row r="237" spans="2:5" x14ac:dyDescent="0.25">
      <c r="B237">
        <v>38.869999999999997</v>
      </c>
      <c r="C237" s="21">
        <v>4.55</v>
      </c>
      <c r="D237">
        <f t="shared" si="3"/>
        <v>3.6602227448641318</v>
      </c>
      <c r="E237">
        <f t="shared" si="3"/>
        <v>1.5151272329628591</v>
      </c>
    </row>
    <row r="238" spans="2:5" x14ac:dyDescent="0.25">
      <c r="B238">
        <v>39.090000000000003</v>
      </c>
      <c r="C238" s="21">
        <v>4.3499999999999996</v>
      </c>
      <c r="D238">
        <f t="shared" si="3"/>
        <v>3.6658666798048634</v>
      </c>
      <c r="E238">
        <f t="shared" si="3"/>
        <v>1.4701758451005926</v>
      </c>
    </row>
    <row r="239" spans="2:5" x14ac:dyDescent="0.25">
      <c r="B239">
        <v>44.62</v>
      </c>
      <c r="C239" s="21">
        <v>4.7300000000000004</v>
      </c>
      <c r="D239">
        <f t="shared" si="3"/>
        <v>3.7981821890043865</v>
      </c>
      <c r="E239">
        <f t="shared" si="3"/>
        <v>1.5539252025038417</v>
      </c>
    </row>
    <row r="240" spans="2:5" x14ac:dyDescent="0.25">
      <c r="B240">
        <v>39.25</v>
      </c>
      <c r="C240" s="21">
        <v>4.18</v>
      </c>
      <c r="D240">
        <f t="shared" si="3"/>
        <v>3.6699514442284173</v>
      </c>
      <c r="E240">
        <f t="shared" si="3"/>
        <v>1.430311246536665</v>
      </c>
    </row>
    <row r="241" spans="2:5" x14ac:dyDescent="0.25">
      <c r="B241">
        <v>28.77</v>
      </c>
      <c r="C241" s="21">
        <v>3.57</v>
      </c>
      <c r="D241">
        <f t="shared" si="3"/>
        <v>3.3593331775634567</v>
      </c>
      <c r="E241">
        <f t="shared" si="3"/>
        <v>1.2725655957915476</v>
      </c>
    </row>
    <row r="242" spans="2:5" x14ac:dyDescent="0.25">
      <c r="B242">
        <v>35.659999999999997</v>
      </c>
      <c r="C242" s="21">
        <v>3.6</v>
      </c>
      <c r="D242">
        <f t="shared" si="3"/>
        <v>3.5740296124349942</v>
      </c>
      <c r="E242">
        <f t="shared" si="3"/>
        <v>1.2809338454620642</v>
      </c>
    </row>
    <row r="243" spans="2:5" x14ac:dyDescent="0.25">
      <c r="B243">
        <v>52.18</v>
      </c>
      <c r="C243" s="21">
        <v>3.56</v>
      </c>
      <c r="D243">
        <f t="shared" si="3"/>
        <v>3.9546992797085823</v>
      </c>
      <c r="E243">
        <f t="shared" si="3"/>
        <v>1.2697605448639391</v>
      </c>
    </row>
    <row r="244" spans="2:5" x14ac:dyDescent="0.25">
      <c r="B244">
        <v>29.89</v>
      </c>
      <c r="C244" s="21">
        <v>3.21</v>
      </c>
      <c r="D244">
        <f t="shared" si="3"/>
        <v>3.3975239762958465</v>
      </c>
      <c r="E244">
        <f t="shared" si="3"/>
        <v>1.1662709371419244</v>
      </c>
    </row>
    <row r="245" spans="2:5" x14ac:dyDescent="0.25">
      <c r="B245">
        <v>31.68</v>
      </c>
      <c r="C245" s="21">
        <v>3.19</v>
      </c>
      <c r="D245">
        <f t="shared" si="3"/>
        <v>3.455685566946225</v>
      </c>
      <c r="E245">
        <f t="shared" si="3"/>
        <v>1.1600209167967532</v>
      </c>
    </row>
    <row r="246" spans="2:5" x14ac:dyDescent="0.25">
      <c r="B246">
        <v>42.29</v>
      </c>
      <c r="C246" s="21">
        <v>2.85</v>
      </c>
      <c r="D246">
        <f t="shared" si="3"/>
        <v>3.7445506514843974</v>
      </c>
      <c r="E246">
        <f t="shared" si="3"/>
        <v>1.0473189942805592</v>
      </c>
    </row>
    <row r="247" spans="2:5" x14ac:dyDescent="0.25">
      <c r="B247">
        <v>30.49</v>
      </c>
      <c r="C247" s="21">
        <v>2.88</v>
      </c>
      <c r="D247">
        <f t="shared" si="3"/>
        <v>3.4173987610001633</v>
      </c>
      <c r="E247">
        <f t="shared" si="3"/>
        <v>1.0577902941478545</v>
      </c>
    </row>
    <row r="248" spans="2:5" x14ac:dyDescent="0.25">
      <c r="B248">
        <v>51.36</v>
      </c>
      <c r="C248" s="21">
        <v>2.2999999999999998</v>
      </c>
      <c r="D248">
        <f t="shared" si="3"/>
        <v>3.9388596593817056</v>
      </c>
      <c r="E248">
        <f t="shared" si="3"/>
        <v>0.83290912293510388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BERAT IKAN SELAR</vt:lpstr>
      <vt:lpstr>DATA PARAMETER OSEANOGRAFI</vt:lpstr>
      <vt:lpstr>DATA BERAT IKAN PEPEREK</vt:lpstr>
      <vt:lpstr>HASIL TANGKAP SELAT BALI</vt:lpstr>
      <vt:lpstr>UJI KANDUNGAN LOGAM</vt:lpstr>
      <vt:lpstr>PANJANG DAN BERAT IKAN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USER</cp:lastModifiedBy>
  <dcterms:created xsi:type="dcterms:W3CDTF">2018-04-23T13:08:32Z</dcterms:created>
  <dcterms:modified xsi:type="dcterms:W3CDTF">2018-04-26T00:19:21Z</dcterms:modified>
</cp:coreProperties>
</file>