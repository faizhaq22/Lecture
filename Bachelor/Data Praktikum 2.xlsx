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20" firstSheet="5" activeTab="11"/>
  </bookViews>
  <sheets>
    <sheet name="JUDUL" sheetId="12" r:id="rId1"/>
    <sheet name="VARIABEL" sheetId="13" r:id="rId2"/>
    <sheet name="RUMUS" sheetId="1" r:id="rId3"/>
    <sheet name="NO RUMUS" sheetId="11" r:id="rId4"/>
    <sheet name="PROVID" sheetId="4" r:id="rId5"/>
    <sheet name="KABID" sheetId="5" r:id="rId6"/>
    <sheet name="CAMID" sheetId="6" r:id="rId7"/>
    <sheet name="DESAID" sheetId="7" r:id="rId8"/>
    <sheet name="DATA" sheetId="8" r:id="rId9"/>
    <sheet name="SAMPLING" sheetId="15" r:id="rId10"/>
    <sheet name="STATISTIK" sheetId="16" r:id="rId11"/>
    <sheet name="Jumlah Penduduk_Uji T" sheetId="14" r:id="rId12"/>
  </sheets>
  <externalReferences>
    <externalReference r:id="rId13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14" l="1"/>
  <c r="C6" i="14"/>
  <c r="B6" i="14"/>
  <c r="C5" i="14"/>
  <c r="B5" i="14"/>
  <c r="C4" i="14"/>
  <c r="B4" i="14"/>
  <c r="C3" i="14" l="1"/>
  <c r="B3" i="14"/>
  <c r="C2" i="14"/>
  <c r="B2" i="14"/>
  <c r="I113" i="15"/>
  <c r="J113" i="15" s="1"/>
  <c r="G113" i="15"/>
  <c r="I112" i="15"/>
  <c r="J112" i="15" s="1"/>
  <c r="G112" i="15"/>
  <c r="I111" i="15"/>
  <c r="J111" i="15" s="1"/>
  <c r="G111" i="15"/>
  <c r="J110" i="15"/>
  <c r="I110" i="15"/>
  <c r="G110" i="15"/>
  <c r="I109" i="15"/>
  <c r="J109" i="15" s="1"/>
  <c r="G109" i="15"/>
  <c r="I108" i="15"/>
  <c r="J108" i="15" s="1"/>
  <c r="G108" i="15"/>
  <c r="I107" i="15"/>
  <c r="J107" i="15" s="1"/>
  <c r="G107" i="15"/>
  <c r="I106" i="15"/>
  <c r="J106" i="15" s="1"/>
  <c r="G106" i="15"/>
  <c r="I105" i="15"/>
  <c r="J105" i="15" s="1"/>
  <c r="G105" i="15"/>
  <c r="I104" i="15"/>
  <c r="J104" i="15" s="1"/>
  <c r="G104" i="15"/>
  <c r="I103" i="15"/>
  <c r="J103" i="15" s="1"/>
  <c r="G103" i="15"/>
  <c r="J102" i="15"/>
  <c r="I102" i="15"/>
  <c r="G102" i="15"/>
  <c r="I101" i="15"/>
  <c r="J101" i="15" s="1"/>
  <c r="G101" i="15"/>
  <c r="I100" i="15"/>
  <c r="J100" i="15" s="1"/>
  <c r="G100" i="15"/>
  <c r="I99" i="15"/>
  <c r="J99" i="15" s="1"/>
  <c r="G99" i="15"/>
  <c r="I98" i="15"/>
  <c r="J98" i="15" s="1"/>
  <c r="G98" i="15"/>
  <c r="I97" i="15"/>
  <c r="J97" i="15" s="1"/>
  <c r="G97" i="15"/>
  <c r="I96" i="15"/>
  <c r="J96" i="15" s="1"/>
  <c r="G96" i="15"/>
  <c r="I95" i="15"/>
  <c r="J95" i="15" s="1"/>
  <c r="G95" i="15"/>
  <c r="J94" i="15"/>
  <c r="I94" i="15"/>
  <c r="G94" i="15"/>
  <c r="I93" i="15"/>
  <c r="J93" i="15" s="1"/>
  <c r="G93" i="15"/>
  <c r="I92" i="15"/>
  <c r="J92" i="15" s="1"/>
  <c r="G92" i="15"/>
  <c r="I91" i="15"/>
  <c r="J91" i="15" s="1"/>
  <c r="G91" i="15"/>
  <c r="I90" i="15"/>
  <c r="J90" i="15" s="1"/>
  <c r="G90" i="15"/>
  <c r="I89" i="15"/>
  <c r="J89" i="15" s="1"/>
  <c r="G89" i="15"/>
  <c r="I88" i="15"/>
  <c r="J88" i="15" s="1"/>
  <c r="G88" i="15"/>
  <c r="I87" i="15"/>
  <c r="J87" i="15" s="1"/>
  <c r="G87" i="15"/>
  <c r="J86" i="15"/>
  <c r="I86" i="15"/>
  <c r="G86" i="15"/>
  <c r="I85" i="15"/>
  <c r="J85" i="15" s="1"/>
  <c r="G85" i="15"/>
  <c r="I84" i="15"/>
  <c r="J84" i="15" s="1"/>
  <c r="G84" i="15"/>
  <c r="I83" i="15"/>
  <c r="J83" i="15" s="1"/>
  <c r="G83" i="15"/>
  <c r="I82" i="15"/>
  <c r="J82" i="15" s="1"/>
  <c r="G82" i="15"/>
  <c r="I81" i="15"/>
  <c r="J81" i="15" s="1"/>
  <c r="G81" i="15"/>
  <c r="I80" i="15"/>
  <c r="J80" i="15" s="1"/>
  <c r="G80" i="15"/>
  <c r="I79" i="15"/>
  <c r="J79" i="15" s="1"/>
  <c r="G79" i="15"/>
  <c r="J78" i="15"/>
  <c r="I78" i="15"/>
  <c r="G78" i="15"/>
  <c r="I77" i="15"/>
  <c r="J77" i="15" s="1"/>
  <c r="G77" i="15"/>
  <c r="I76" i="15"/>
  <c r="J76" i="15" s="1"/>
  <c r="G76" i="15"/>
  <c r="I75" i="15"/>
  <c r="J75" i="15" s="1"/>
  <c r="G75" i="15"/>
  <c r="I74" i="15"/>
  <c r="J74" i="15" s="1"/>
  <c r="G74" i="15"/>
  <c r="I73" i="15"/>
  <c r="J73" i="15" s="1"/>
  <c r="G73" i="15"/>
  <c r="I72" i="15"/>
  <c r="J72" i="15" s="1"/>
  <c r="G72" i="15"/>
  <c r="I71" i="15"/>
  <c r="J71" i="15" s="1"/>
  <c r="G71" i="15"/>
  <c r="I70" i="15"/>
  <c r="J70" i="15" s="1"/>
  <c r="G70" i="15"/>
  <c r="J69" i="15"/>
  <c r="I69" i="15"/>
  <c r="G69" i="15"/>
  <c r="I68" i="15"/>
  <c r="J68" i="15" s="1"/>
  <c r="G68" i="15"/>
  <c r="I67" i="15"/>
  <c r="J67" i="15" s="1"/>
  <c r="G67" i="15"/>
  <c r="I66" i="15"/>
  <c r="J66" i="15" s="1"/>
  <c r="G66" i="15"/>
  <c r="I65" i="15"/>
  <c r="J65" i="15" s="1"/>
  <c r="G65" i="15"/>
  <c r="I64" i="15"/>
  <c r="J64" i="15" s="1"/>
  <c r="G64" i="15"/>
  <c r="I63" i="15"/>
  <c r="J63" i="15" s="1"/>
  <c r="G63" i="15"/>
  <c r="I62" i="15"/>
  <c r="J62" i="15" s="1"/>
  <c r="G62" i="15"/>
  <c r="J61" i="15"/>
  <c r="I61" i="15"/>
  <c r="G61" i="15"/>
  <c r="I60" i="15"/>
  <c r="J60" i="15" s="1"/>
  <c r="G60" i="15"/>
  <c r="I59" i="15"/>
  <c r="J59" i="15" s="1"/>
  <c r="G59" i="15"/>
  <c r="I58" i="15"/>
  <c r="J58" i="15" s="1"/>
  <c r="G58" i="15"/>
  <c r="I57" i="15"/>
  <c r="J57" i="15" s="1"/>
  <c r="G57" i="15"/>
  <c r="I56" i="15"/>
  <c r="J56" i="15" s="1"/>
  <c r="G56" i="15"/>
  <c r="I55" i="15"/>
  <c r="J55" i="15" s="1"/>
  <c r="G55" i="15"/>
  <c r="I54" i="15"/>
  <c r="J54" i="15" s="1"/>
  <c r="G54" i="15"/>
  <c r="I53" i="15"/>
  <c r="J53" i="15" s="1"/>
  <c r="G53" i="15"/>
  <c r="I52" i="15"/>
  <c r="J52" i="15" s="1"/>
  <c r="G52" i="15"/>
  <c r="I51" i="15"/>
  <c r="J51" i="15" s="1"/>
  <c r="G51" i="15"/>
  <c r="I50" i="15"/>
  <c r="J50" i="15" s="1"/>
  <c r="G50" i="15"/>
  <c r="J49" i="15"/>
  <c r="I49" i="15"/>
  <c r="G49" i="15"/>
  <c r="I48" i="15"/>
  <c r="J48" i="15" s="1"/>
  <c r="G48" i="15"/>
  <c r="I47" i="15"/>
  <c r="J47" i="15" s="1"/>
  <c r="G47" i="15"/>
  <c r="I46" i="15"/>
  <c r="J46" i="15" s="1"/>
  <c r="G46" i="15"/>
  <c r="I45" i="15"/>
  <c r="J45" i="15" s="1"/>
  <c r="G45" i="15"/>
  <c r="I44" i="15"/>
  <c r="J44" i="15" s="1"/>
  <c r="G44" i="15"/>
  <c r="I43" i="15"/>
  <c r="J43" i="15" s="1"/>
  <c r="G43" i="15"/>
  <c r="I42" i="15"/>
  <c r="J42" i="15" s="1"/>
  <c r="G42" i="15"/>
  <c r="J41" i="15"/>
  <c r="I41" i="15"/>
  <c r="G41" i="15"/>
  <c r="I40" i="15"/>
  <c r="J40" i="15" s="1"/>
  <c r="G40" i="15"/>
  <c r="I39" i="15"/>
  <c r="J39" i="15" s="1"/>
  <c r="G39" i="15"/>
  <c r="I38" i="15"/>
  <c r="J38" i="15" s="1"/>
  <c r="G38" i="15"/>
  <c r="I37" i="15"/>
  <c r="J37" i="15" s="1"/>
  <c r="G37" i="15"/>
  <c r="I36" i="15"/>
  <c r="J36" i="15" s="1"/>
  <c r="G36" i="15"/>
  <c r="I35" i="15"/>
  <c r="J35" i="15" s="1"/>
  <c r="G35" i="15"/>
  <c r="I34" i="15"/>
  <c r="J34" i="15" s="1"/>
  <c r="G34" i="15"/>
  <c r="J33" i="15"/>
  <c r="I33" i="15"/>
  <c r="G33" i="15"/>
  <c r="I32" i="15"/>
  <c r="J32" i="15" s="1"/>
  <c r="G32" i="15"/>
  <c r="Q31" i="15"/>
  <c r="O31" i="15"/>
  <c r="P31" i="15" s="1"/>
  <c r="M31" i="15"/>
  <c r="N31" i="15" s="1"/>
  <c r="K31" i="15"/>
  <c r="L31" i="15" s="1"/>
  <c r="I31" i="15"/>
  <c r="J31" i="15" s="1"/>
  <c r="G31" i="15"/>
  <c r="Q30" i="15"/>
  <c r="O30" i="15"/>
  <c r="P30" i="15" s="1"/>
  <c r="M30" i="15"/>
  <c r="N30" i="15" s="1"/>
  <c r="K30" i="15"/>
  <c r="L30" i="15" s="1"/>
  <c r="I30" i="15"/>
  <c r="J30" i="15" s="1"/>
  <c r="G30" i="15"/>
  <c r="Q29" i="15"/>
  <c r="O29" i="15"/>
  <c r="P29" i="15" s="1"/>
  <c r="M29" i="15"/>
  <c r="N29" i="15" s="1"/>
  <c r="K29" i="15"/>
  <c r="L29" i="15" s="1"/>
  <c r="I29" i="15"/>
  <c r="J29" i="15" s="1"/>
  <c r="G29" i="15"/>
  <c r="Q28" i="15"/>
  <c r="O28" i="15"/>
  <c r="P28" i="15" s="1"/>
  <c r="M28" i="15"/>
  <c r="N28" i="15" s="1"/>
  <c r="K28" i="15"/>
  <c r="L28" i="15" s="1"/>
  <c r="I28" i="15"/>
  <c r="J28" i="15" s="1"/>
  <c r="G28" i="15"/>
  <c r="Q27" i="15"/>
  <c r="O27" i="15"/>
  <c r="P27" i="15" s="1"/>
  <c r="M27" i="15"/>
  <c r="N27" i="15" s="1"/>
  <c r="K27" i="15"/>
  <c r="L27" i="15" s="1"/>
  <c r="I27" i="15"/>
  <c r="J27" i="15" s="1"/>
  <c r="G27" i="15"/>
  <c r="Q26" i="15"/>
  <c r="O26" i="15"/>
  <c r="P26" i="15" s="1"/>
  <c r="M26" i="15"/>
  <c r="N26" i="15" s="1"/>
  <c r="K26" i="15"/>
  <c r="L26" i="15" s="1"/>
  <c r="I26" i="15"/>
  <c r="J26" i="15" s="1"/>
  <c r="G26" i="15"/>
  <c r="Q25" i="15"/>
  <c r="O25" i="15"/>
  <c r="P25" i="15" s="1"/>
  <c r="M25" i="15"/>
  <c r="N25" i="15" s="1"/>
  <c r="K25" i="15"/>
  <c r="L25" i="15" s="1"/>
  <c r="I25" i="15"/>
  <c r="J25" i="15" s="1"/>
  <c r="G25" i="15"/>
  <c r="Q24" i="15"/>
  <c r="O24" i="15"/>
  <c r="P24" i="15" s="1"/>
  <c r="M24" i="15"/>
  <c r="N24" i="15" s="1"/>
  <c r="K24" i="15"/>
  <c r="L24" i="15" s="1"/>
  <c r="I24" i="15"/>
  <c r="J24" i="15" s="1"/>
  <c r="G24" i="15"/>
  <c r="Q23" i="15"/>
  <c r="O23" i="15"/>
  <c r="P23" i="15" s="1"/>
  <c r="M23" i="15"/>
  <c r="N23" i="15" s="1"/>
  <c r="K23" i="15"/>
  <c r="L23" i="15" s="1"/>
  <c r="I23" i="15"/>
  <c r="J23" i="15" s="1"/>
  <c r="G23" i="15"/>
  <c r="Q22" i="15"/>
  <c r="O22" i="15"/>
  <c r="P22" i="15" s="1"/>
  <c r="M22" i="15"/>
  <c r="N22" i="15" s="1"/>
  <c r="K22" i="15"/>
  <c r="L22" i="15" s="1"/>
  <c r="I22" i="15"/>
  <c r="J22" i="15" s="1"/>
  <c r="G22" i="15"/>
  <c r="Q21" i="15"/>
  <c r="O21" i="15"/>
  <c r="P21" i="15" s="1"/>
  <c r="M21" i="15"/>
  <c r="N21" i="15" s="1"/>
  <c r="K21" i="15"/>
  <c r="L21" i="15" s="1"/>
  <c r="I21" i="15"/>
  <c r="J21" i="15" s="1"/>
  <c r="G21" i="15"/>
  <c r="Q20" i="15"/>
  <c r="O20" i="15"/>
  <c r="P20" i="15" s="1"/>
  <c r="M20" i="15"/>
  <c r="N20" i="15" s="1"/>
  <c r="K20" i="15"/>
  <c r="L20" i="15" s="1"/>
  <c r="I20" i="15"/>
  <c r="J20" i="15" s="1"/>
  <c r="G20" i="15"/>
  <c r="Q19" i="15"/>
  <c r="O19" i="15"/>
  <c r="P19" i="15" s="1"/>
  <c r="M19" i="15"/>
  <c r="N19" i="15" s="1"/>
  <c r="K19" i="15"/>
  <c r="L19" i="15" s="1"/>
  <c r="I19" i="15"/>
  <c r="J19" i="15" s="1"/>
  <c r="G19" i="15"/>
  <c r="Q18" i="15"/>
  <c r="O18" i="15"/>
  <c r="P18" i="15" s="1"/>
  <c r="M18" i="15"/>
  <c r="N18" i="15" s="1"/>
  <c r="K18" i="15"/>
  <c r="L18" i="15" s="1"/>
  <c r="I18" i="15"/>
  <c r="J18" i="15" s="1"/>
  <c r="G18" i="15"/>
  <c r="Q17" i="15"/>
  <c r="O17" i="15"/>
  <c r="P17" i="15" s="1"/>
  <c r="M17" i="15"/>
  <c r="N17" i="15" s="1"/>
  <c r="K17" i="15"/>
  <c r="L17" i="15" s="1"/>
  <c r="I17" i="15"/>
  <c r="J17" i="15" s="1"/>
  <c r="G17" i="15"/>
  <c r="Q16" i="15"/>
  <c r="O16" i="15"/>
  <c r="P16" i="15" s="1"/>
  <c r="M16" i="15"/>
  <c r="N16" i="15" s="1"/>
  <c r="K16" i="15"/>
  <c r="L16" i="15" s="1"/>
  <c r="I16" i="15"/>
  <c r="J16" i="15" s="1"/>
  <c r="G16" i="15"/>
  <c r="Q15" i="15"/>
  <c r="P15" i="15"/>
  <c r="O15" i="15"/>
  <c r="N15" i="15"/>
  <c r="M15" i="15"/>
  <c r="L15" i="15"/>
  <c r="K15" i="15"/>
  <c r="J15" i="15"/>
  <c r="I15" i="15"/>
  <c r="G15" i="15"/>
  <c r="Q14" i="15"/>
  <c r="P14" i="15"/>
  <c r="O14" i="15"/>
  <c r="N14" i="15"/>
  <c r="M14" i="15"/>
  <c r="K14" i="15"/>
  <c r="L14" i="15" s="1"/>
  <c r="I14" i="15"/>
  <c r="J14" i="15" s="1"/>
  <c r="G14" i="15"/>
  <c r="Q13" i="15"/>
  <c r="O13" i="15"/>
  <c r="P13" i="15" s="1"/>
  <c r="M13" i="15"/>
  <c r="N13" i="15" s="1"/>
  <c r="K13" i="15"/>
  <c r="L13" i="15" s="1"/>
  <c r="I13" i="15"/>
  <c r="J13" i="15" s="1"/>
  <c r="G13" i="15"/>
  <c r="Q12" i="15"/>
  <c r="O12" i="15"/>
  <c r="P12" i="15" s="1"/>
  <c r="M12" i="15"/>
  <c r="N12" i="15" s="1"/>
  <c r="K12" i="15"/>
  <c r="L12" i="15" s="1"/>
  <c r="I12" i="15"/>
  <c r="J12" i="15" s="1"/>
  <c r="G12" i="15"/>
  <c r="Q11" i="15"/>
  <c r="O11" i="15"/>
  <c r="P11" i="15" s="1"/>
  <c r="M11" i="15"/>
  <c r="N11" i="15" s="1"/>
  <c r="K11" i="15"/>
  <c r="L11" i="15" s="1"/>
  <c r="I11" i="15"/>
  <c r="J11" i="15" s="1"/>
  <c r="G11" i="15"/>
  <c r="Q10" i="15"/>
  <c r="O10" i="15"/>
  <c r="P10" i="15" s="1"/>
  <c r="M10" i="15"/>
  <c r="N10" i="15" s="1"/>
  <c r="K10" i="15"/>
  <c r="L10" i="15" s="1"/>
  <c r="I10" i="15"/>
  <c r="J10" i="15" s="1"/>
  <c r="G10" i="15"/>
  <c r="Q9" i="15"/>
  <c r="O9" i="15"/>
  <c r="P9" i="15" s="1"/>
  <c r="M9" i="15"/>
  <c r="N9" i="15" s="1"/>
  <c r="K9" i="15"/>
  <c r="L9" i="15" s="1"/>
  <c r="I9" i="15"/>
  <c r="J9" i="15" s="1"/>
  <c r="G9" i="15"/>
  <c r="Q8" i="15"/>
  <c r="O8" i="15"/>
  <c r="P8" i="15" s="1"/>
  <c r="M8" i="15"/>
  <c r="N8" i="15" s="1"/>
  <c r="K8" i="15"/>
  <c r="L8" i="15" s="1"/>
  <c r="I8" i="15"/>
  <c r="J8" i="15" s="1"/>
  <c r="G8" i="15"/>
  <c r="Q7" i="15"/>
  <c r="O7" i="15"/>
  <c r="P7" i="15" s="1"/>
  <c r="M7" i="15"/>
  <c r="N7" i="15" s="1"/>
  <c r="K7" i="15"/>
  <c r="L7" i="15" s="1"/>
  <c r="I7" i="15"/>
  <c r="J7" i="15" s="1"/>
  <c r="G7" i="15"/>
  <c r="Q6" i="15"/>
  <c r="O6" i="15"/>
  <c r="P6" i="15" s="1"/>
  <c r="M6" i="15"/>
  <c r="N6" i="15" s="1"/>
  <c r="K6" i="15"/>
  <c r="L6" i="15" s="1"/>
  <c r="I6" i="15"/>
  <c r="J6" i="15" s="1"/>
  <c r="G6" i="15"/>
  <c r="Q5" i="15"/>
  <c r="O5" i="15"/>
  <c r="P5" i="15" s="1"/>
  <c r="M5" i="15"/>
  <c r="N5" i="15" s="1"/>
  <c r="K5" i="15"/>
  <c r="L5" i="15" s="1"/>
  <c r="I5" i="15"/>
  <c r="J5" i="15" s="1"/>
  <c r="G5" i="15"/>
  <c r="Q4" i="15"/>
  <c r="O4" i="15"/>
  <c r="P4" i="15" s="1"/>
  <c r="M4" i="15"/>
  <c r="N4" i="15" s="1"/>
  <c r="K4" i="15"/>
  <c r="L4" i="15" s="1"/>
  <c r="I4" i="15"/>
  <c r="J4" i="15" s="1"/>
  <c r="G4" i="15"/>
  <c r="Q3" i="15"/>
  <c r="O3" i="15"/>
  <c r="P3" i="15" s="1"/>
  <c r="M3" i="15"/>
  <c r="N3" i="15" s="1"/>
  <c r="K3" i="15"/>
  <c r="L3" i="15" s="1"/>
  <c r="I3" i="15"/>
  <c r="J3" i="15" s="1"/>
  <c r="G3" i="15"/>
  <c r="Q2" i="15"/>
  <c r="O2" i="15"/>
  <c r="P2" i="15" s="1"/>
  <c r="M2" i="15"/>
  <c r="N2" i="15" s="1"/>
  <c r="K2" i="15"/>
  <c r="L2" i="15" s="1"/>
  <c r="I2" i="15"/>
  <c r="J2" i="15" s="1"/>
  <c r="G2" i="15"/>
  <c r="J3" i="8" l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2" i="8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2" i="1"/>
  <c r="F3" i="1"/>
  <c r="G3" i="1" s="1"/>
  <c r="H3" i="1" s="1"/>
  <c r="I3" i="1" s="1"/>
  <c r="F4" i="1"/>
  <c r="G4" i="1" s="1"/>
  <c r="H4" i="1" s="1"/>
  <c r="I4" i="1" s="1"/>
  <c r="F5" i="1"/>
  <c r="G5" i="1" s="1"/>
  <c r="H5" i="1" s="1"/>
  <c r="I5" i="1" s="1"/>
  <c r="F6" i="1"/>
  <c r="G6" i="1" s="1"/>
  <c r="H6" i="1" s="1"/>
  <c r="I6" i="1" s="1"/>
  <c r="F7" i="1"/>
  <c r="G7" i="1" s="1"/>
  <c r="H7" i="1" s="1"/>
  <c r="I7" i="1" s="1"/>
  <c r="F8" i="1"/>
  <c r="G8" i="1" s="1"/>
  <c r="H8" i="1" s="1"/>
  <c r="I8" i="1" s="1"/>
  <c r="F9" i="1"/>
  <c r="G9" i="1" s="1"/>
  <c r="H9" i="1" s="1"/>
  <c r="I9" i="1" s="1"/>
  <c r="F10" i="1"/>
  <c r="G10" i="1" s="1"/>
  <c r="H10" i="1" s="1"/>
  <c r="I10" i="1" s="1"/>
  <c r="F11" i="1"/>
  <c r="G11" i="1" s="1"/>
  <c r="H11" i="1" s="1"/>
  <c r="I11" i="1" s="1"/>
  <c r="F12" i="1"/>
  <c r="G12" i="1" s="1"/>
  <c r="H12" i="1" s="1"/>
  <c r="I12" i="1" s="1"/>
  <c r="F13" i="1"/>
  <c r="G13" i="1" s="1"/>
  <c r="H13" i="1" s="1"/>
  <c r="I13" i="1" s="1"/>
  <c r="F14" i="1"/>
  <c r="G14" i="1" s="1"/>
  <c r="H14" i="1" s="1"/>
  <c r="I14" i="1" s="1"/>
  <c r="F15" i="1"/>
  <c r="G15" i="1" s="1"/>
  <c r="H15" i="1" s="1"/>
  <c r="I15" i="1" s="1"/>
  <c r="F16" i="1"/>
  <c r="G16" i="1" s="1"/>
  <c r="H16" i="1" s="1"/>
  <c r="I16" i="1" s="1"/>
  <c r="F17" i="1"/>
  <c r="G17" i="1" s="1"/>
  <c r="H17" i="1" s="1"/>
  <c r="I17" i="1" s="1"/>
  <c r="F18" i="1"/>
  <c r="G18" i="1" s="1"/>
  <c r="H18" i="1" s="1"/>
  <c r="I18" i="1" s="1"/>
  <c r="F19" i="1"/>
  <c r="G19" i="1" s="1"/>
  <c r="H19" i="1" s="1"/>
  <c r="I19" i="1" s="1"/>
  <c r="F20" i="1"/>
  <c r="G20" i="1" s="1"/>
  <c r="H20" i="1" s="1"/>
  <c r="I20" i="1" s="1"/>
  <c r="F21" i="1"/>
  <c r="G21" i="1" s="1"/>
  <c r="H21" i="1" s="1"/>
  <c r="I21" i="1" s="1"/>
  <c r="F22" i="1"/>
  <c r="G22" i="1" s="1"/>
  <c r="H22" i="1" s="1"/>
  <c r="I22" i="1" s="1"/>
  <c r="F23" i="1"/>
  <c r="G23" i="1" s="1"/>
  <c r="H23" i="1" s="1"/>
  <c r="I23" i="1" s="1"/>
  <c r="F24" i="1"/>
  <c r="G24" i="1" s="1"/>
  <c r="H24" i="1" s="1"/>
  <c r="I24" i="1" s="1"/>
  <c r="F25" i="1"/>
  <c r="G25" i="1" s="1"/>
  <c r="H25" i="1" s="1"/>
  <c r="I25" i="1" s="1"/>
  <c r="F26" i="1"/>
  <c r="G26" i="1" s="1"/>
  <c r="H26" i="1" s="1"/>
  <c r="I26" i="1" s="1"/>
  <c r="F27" i="1"/>
  <c r="G27" i="1" s="1"/>
  <c r="H27" i="1" s="1"/>
  <c r="I27" i="1" s="1"/>
  <c r="F28" i="1"/>
  <c r="G28" i="1" s="1"/>
  <c r="H28" i="1" s="1"/>
  <c r="I28" i="1" s="1"/>
  <c r="F29" i="1"/>
  <c r="G29" i="1" s="1"/>
  <c r="H29" i="1" s="1"/>
  <c r="I29" i="1" s="1"/>
  <c r="F30" i="1"/>
  <c r="G30" i="1" s="1"/>
  <c r="H30" i="1" s="1"/>
  <c r="I30" i="1" s="1"/>
  <c r="F31" i="1"/>
  <c r="G31" i="1" s="1"/>
  <c r="H31" i="1" s="1"/>
  <c r="I31" i="1" s="1"/>
  <c r="F32" i="1"/>
  <c r="G32" i="1" s="1"/>
  <c r="H32" i="1" s="1"/>
  <c r="I32" i="1" s="1"/>
  <c r="F33" i="1"/>
  <c r="G33" i="1" s="1"/>
  <c r="H33" i="1" s="1"/>
  <c r="I33" i="1" s="1"/>
  <c r="F34" i="1"/>
  <c r="G34" i="1" s="1"/>
  <c r="H34" i="1" s="1"/>
  <c r="I34" i="1" s="1"/>
  <c r="F35" i="1"/>
  <c r="G35" i="1" s="1"/>
  <c r="H35" i="1" s="1"/>
  <c r="I35" i="1" s="1"/>
  <c r="F36" i="1"/>
  <c r="G36" i="1" s="1"/>
  <c r="H36" i="1" s="1"/>
  <c r="I36" i="1" s="1"/>
  <c r="F37" i="1"/>
  <c r="G37" i="1" s="1"/>
  <c r="H37" i="1" s="1"/>
  <c r="I37" i="1" s="1"/>
  <c r="F38" i="1"/>
  <c r="G38" i="1" s="1"/>
  <c r="H38" i="1" s="1"/>
  <c r="I38" i="1" s="1"/>
  <c r="F39" i="1"/>
  <c r="G39" i="1" s="1"/>
  <c r="H39" i="1" s="1"/>
  <c r="I39" i="1" s="1"/>
  <c r="F40" i="1"/>
  <c r="G40" i="1" s="1"/>
  <c r="H40" i="1" s="1"/>
  <c r="I40" i="1" s="1"/>
  <c r="F41" i="1"/>
  <c r="G41" i="1" s="1"/>
  <c r="H41" i="1" s="1"/>
  <c r="I41" i="1" s="1"/>
  <c r="F42" i="1"/>
  <c r="G42" i="1" s="1"/>
  <c r="H42" i="1" s="1"/>
  <c r="I42" i="1" s="1"/>
  <c r="F43" i="1"/>
  <c r="G43" i="1" s="1"/>
  <c r="H43" i="1" s="1"/>
  <c r="I43" i="1" s="1"/>
  <c r="F44" i="1"/>
  <c r="G44" i="1" s="1"/>
  <c r="H44" i="1" s="1"/>
  <c r="I44" i="1" s="1"/>
  <c r="F45" i="1"/>
  <c r="G45" i="1" s="1"/>
  <c r="H45" i="1" s="1"/>
  <c r="I45" i="1" s="1"/>
  <c r="F46" i="1"/>
  <c r="G46" i="1" s="1"/>
  <c r="H46" i="1" s="1"/>
  <c r="I46" i="1" s="1"/>
  <c r="F47" i="1"/>
  <c r="G47" i="1" s="1"/>
  <c r="H47" i="1" s="1"/>
  <c r="I47" i="1" s="1"/>
  <c r="F48" i="1"/>
  <c r="G48" i="1" s="1"/>
  <c r="H48" i="1" s="1"/>
  <c r="I48" i="1" s="1"/>
  <c r="F49" i="1"/>
  <c r="G49" i="1" s="1"/>
  <c r="H49" i="1" s="1"/>
  <c r="I49" i="1" s="1"/>
  <c r="F50" i="1"/>
  <c r="G50" i="1" s="1"/>
  <c r="H50" i="1" s="1"/>
  <c r="I50" i="1" s="1"/>
  <c r="F51" i="1"/>
  <c r="G51" i="1" s="1"/>
  <c r="H51" i="1" s="1"/>
  <c r="I51" i="1" s="1"/>
  <c r="F52" i="1"/>
  <c r="G52" i="1" s="1"/>
  <c r="H52" i="1" s="1"/>
  <c r="I52" i="1" s="1"/>
  <c r="F53" i="1"/>
  <c r="G53" i="1" s="1"/>
  <c r="H53" i="1" s="1"/>
  <c r="I53" i="1" s="1"/>
  <c r="F54" i="1"/>
  <c r="G54" i="1" s="1"/>
  <c r="H54" i="1" s="1"/>
  <c r="I54" i="1" s="1"/>
  <c r="F55" i="1"/>
  <c r="G55" i="1" s="1"/>
  <c r="H55" i="1" s="1"/>
  <c r="I55" i="1" s="1"/>
  <c r="F56" i="1"/>
  <c r="G56" i="1" s="1"/>
  <c r="H56" i="1" s="1"/>
  <c r="I56" i="1" s="1"/>
  <c r="F57" i="1"/>
  <c r="G57" i="1" s="1"/>
  <c r="H57" i="1" s="1"/>
  <c r="I57" i="1" s="1"/>
  <c r="F58" i="1"/>
  <c r="G58" i="1" s="1"/>
  <c r="H58" i="1" s="1"/>
  <c r="I58" i="1" s="1"/>
  <c r="F59" i="1"/>
  <c r="G59" i="1" s="1"/>
  <c r="H59" i="1" s="1"/>
  <c r="I59" i="1" s="1"/>
  <c r="F60" i="1"/>
  <c r="G60" i="1" s="1"/>
  <c r="H60" i="1" s="1"/>
  <c r="I60" i="1" s="1"/>
  <c r="F61" i="1"/>
  <c r="G61" i="1" s="1"/>
  <c r="H61" i="1" s="1"/>
  <c r="I61" i="1" s="1"/>
  <c r="F62" i="1"/>
  <c r="G62" i="1" s="1"/>
  <c r="H62" i="1" s="1"/>
  <c r="I62" i="1" s="1"/>
  <c r="F63" i="1"/>
  <c r="G63" i="1" s="1"/>
  <c r="H63" i="1" s="1"/>
  <c r="I63" i="1" s="1"/>
  <c r="F64" i="1"/>
  <c r="G64" i="1" s="1"/>
  <c r="H64" i="1" s="1"/>
  <c r="I64" i="1" s="1"/>
  <c r="F65" i="1"/>
  <c r="G65" i="1" s="1"/>
  <c r="H65" i="1" s="1"/>
  <c r="I65" i="1" s="1"/>
  <c r="F66" i="1"/>
  <c r="G66" i="1" s="1"/>
  <c r="H66" i="1" s="1"/>
  <c r="I66" i="1" s="1"/>
  <c r="F67" i="1"/>
  <c r="G67" i="1" s="1"/>
  <c r="H67" i="1" s="1"/>
  <c r="I67" i="1" s="1"/>
  <c r="F68" i="1"/>
  <c r="G68" i="1" s="1"/>
  <c r="H68" i="1" s="1"/>
  <c r="I68" i="1" s="1"/>
  <c r="F69" i="1"/>
  <c r="G69" i="1" s="1"/>
  <c r="H69" i="1" s="1"/>
  <c r="I69" i="1" s="1"/>
  <c r="F70" i="1"/>
  <c r="G70" i="1" s="1"/>
  <c r="H70" i="1" s="1"/>
  <c r="I70" i="1" s="1"/>
  <c r="F71" i="1"/>
  <c r="G71" i="1" s="1"/>
  <c r="H71" i="1" s="1"/>
  <c r="I71" i="1" s="1"/>
  <c r="F72" i="1"/>
  <c r="G72" i="1" s="1"/>
  <c r="H72" i="1" s="1"/>
  <c r="I72" i="1" s="1"/>
  <c r="F73" i="1"/>
  <c r="G73" i="1" s="1"/>
  <c r="H73" i="1" s="1"/>
  <c r="I73" i="1" s="1"/>
  <c r="F74" i="1"/>
  <c r="G74" i="1" s="1"/>
  <c r="H74" i="1" s="1"/>
  <c r="I74" i="1" s="1"/>
  <c r="F75" i="1"/>
  <c r="G75" i="1" s="1"/>
  <c r="H75" i="1" s="1"/>
  <c r="I75" i="1" s="1"/>
  <c r="F76" i="1"/>
  <c r="G76" i="1" s="1"/>
  <c r="H76" i="1" s="1"/>
  <c r="I76" i="1" s="1"/>
  <c r="F77" i="1"/>
  <c r="G77" i="1" s="1"/>
  <c r="H77" i="1" s="1"/>
  <c r="I77" i="1" s="1"/>
  <c r="F78" i="1"/>
  <c r="G78" i="1" s="1"/>
  <c r="H78" i="1" s="1"/>
  <c r="I78" i="1" s="1"/>
  <c r="F79" i="1"/>
  <c r="G79" i="1" s="1"/>
  <c r="H79" i="1" s="1"/>
  <c r="I79" i="1" s="1"/>
  <c r="F80" i="1"/>
  <c r="G80" i="1" s="1"/>
  <c r="H80" i="1" s="1"/>
  <c r="I80" i="1" s="1"/>
  <c r="F81" i="1"/>
  <c r="G81" i="1" s="1"/>
  <c r="H81" i="1" s="1"/>
  <c r="I81" i="1" s="1"/>
  <c r="F82" i="1"/>
  <c r="G82" i="1" s="1"/>
  <c r="H82" i="1" s="1"/>
  <c r="I82" i="1" s="1"/>
  <c r="F83" i="1"/>
  <c r="G83" i="1" s="1"/>
  <c r="H83" i="1" s="1"/>
  <c r="I83" i="1" s="1"/>
  <c r="F84" i="1"/>
  <c r="G84" i="1" s="1"/>
  <c r="H84" i="1" s="1"/>
  <c r="I84" i="1" s="1"/>
  <c r="F85" i="1"/>
  <c r="G85" i="1" s="1"/>
  <c r="H85" i="1" s="1"/>
  <c r="I85" i="1" s="1"/>
  <c r="F86" i="1"/>
  <c r="G86" i="1" s="1"/>
  <c r="H86" i="1" s="1"/>
  <c r="I86" i="1" s="1"/>
  <c r="F87" i="1"/>
  <c r="G87" i="1" s="1"/>
  <c r="H87" i="1" s="1"/>
  <c r="I87" i="1" s="1"/>
  <c r="F88" i="1"/>
  <c r="G88" i="1" s="1"/>
  <c r="H88" i="1" s="1"/>
  <c r="I88" i="1" s="1"/>
  <c r="F89" i="1"/>
  <c r="G89" i="1" s="1"/>
  <c r="H89" i="1" s="1"/>
  <c r="I89" i="1" s="1"/>
  <c r="F90" i="1"/>
  <c r="G90" i="1" s="1"/>
  <c r="H90" i="1" s="1"/>
  <c r="I90" i="1" s="1"/>
  <c r="F91" i="1"/>
  <c r="G91" i="1" s="1"/>
  <c r="H91" i="1" s="1"/>
  <c r="I91" i="1" s="1"/>
  <c r="F92" i="1"/>
  <c r="G92" i="1" s="1"/>
  <c r="H92" i="1" s="1"/>
  <c r="I92" i="1" s="1"/>
  <c r="F93" i="1"/>
  <c r="G93" i="1" s="1"/>
  <c r="H93" i="1" s="1"/>
  <c r="I93" i="1" s="1"/>
  <c r="F94" i="1"/>
  <c r="G94" i="1" s="1"/>
  <c r="H94" i="1" s="1"/>
  <c r="I94" i="1" s="1"/>
  <c r="F95" i="1"/>
  <c r="G95" i="1" s="1"/>
  <c r="H95" i="1" s="1"/>
  <c r="I95" i="1" s="1"/>
  <c r="F96" i="1"/>
  <c r="G96" i="1" s="1"/>
  <c r="H96" i="1" s="1"/>
  <c r="I96" i="1" s="1"/>
  <c r="F97" i="1"/>
  <c r="G97" i="1" s="1"/>
  <c r="H97" i="1" s="1"/>
  <c r="I97" i="1" s="1"/>
  <c r="F98" i="1"/>
  <c r="G98" i="1" s="1"/>
  <c r="H98" i="1" s="1"/>
  <c r="I98" i="1" s="1"/>
  <c r="F99" i="1"/>
  <c r="G99" i="1" s="1"/>
  <c r="H99" i="1" s="1"/>
  <c r="I99" i="1" s="1"/>
  <c r="F100" i="1"/>
  <c r="G100" i="1" s="1"/>
  <c r="H100" i="1" s="1"/>
  <c r="I100" i="1" s="1"/>
  <c r="F101" i="1"/>
  <c r="G101" i="1" s="1"/>
  <c r="H101" i="1" s="1"/>
  <c r="I101" i="1" s="1"/>
  <c r="F102" i="1"/>
  <c r="G102" i="1" s="1"/>
  <c r="H102" i="1" s="1"/>
  <c r="I102" i="1" s="1"/>
  <c r="F103" i="1"/>
  <c r="G103" i="1" s="1"/>
  <c r="H103" i="1" s="1"/>
  <c r="I103" i="1" s="1"/>
  <c r="F104" i="1"/>
  <c r="G104" i="1" s="1"/>
  <c r="H104" i="1" s="1"/>
  <c r="I104" i="1" s="1"/>
  <c r="F105" i="1"/>
  <c r="G105" i="1" s="1"/>
  <c r="H105" i="1" s="1"/>
  <c r="I105" i="1" s="1"/>
  <c r="F106" i="1"/>
  <c r="G106" i="1" s="1"/>
  <c r="H106" i="1" s="1"/>
  <c r="I106" i="1" s="1"/>
  <c r="F107" i="1"/>
  <c r="G107" i="1" s="1"/>
  <c r="H107" i="1" s="1"/>
  <c r="I107" i="1" s="1"/>
  <c r="F108" i="1"/>
  <c r="G108" i="1" s="1"/>
  <c r="H108" i="1" s="1"/>
  <c r="I108" i="1" s="1"/>
  <c r="F109" i="1"/>
  <c r="G109" i="1" s="1"/>
  <c r="H109" i="1" s="1"/>
  <c r="I109" i="1" s="1"/>
  <c r="F110" i="1"/>
  <c r="G110" i="1" s="1"/>
  <c r="H110" i="1" s="1"/>
  <c r="I110" i="1" s="1"/>
  <c r="F111" i="1"/>
  <c r="G111" i="1" s="1"/>
  <c r="H111" i="1" s="1"/>
  <c r="I111" i="1" s="1"/>
  <c r="F112" i="1"/>
  <c r="G112" i="1" s="1"/>
  <c r="H112" i="1" s="1"/>
  <c r="I112" i="1" s="1"/>
  <c r="F113" i="1"/>
  <c r="G113" i="1" s="1"/>
  <c r="H113" i="1" s="1"/>
  <c r="I113" i="1" s="1"/>
  <c r="F2" i="1"/>
  <c r="G2" i="1" s="1"/>
  <c r="H2" i="1" s="1"/>
  <c r="I2" i="1" s="1"/>
</calcChain>
</file>

<file path=xl/sharedStrings.xml><?xml version="1.0" encoding="utf-8"?>
<sst xmlns="http://schemas.openxmlformats.org/spreadsheetml/2006/main" count="1611" uniqueCount="323">
  <si>
    <t>Nama Kabupaten</t>
  </si>
  <si>
    <t>Nama Kecamatan</t>
  </si>
  <si>
    <t>Nama Desa</t>
  </si>
  <si>
    <r>
      <rPr>
        <b/>
        <sz val="12"/>
        <color rgb="FFFFFFFF"/>
        <rFont val="Calibri"/>
        <family val="2"/>
      </rPr>
      <t>J</t>
    </r>
    <r>
      <rPr>
        <b/>
        <sz val="12"/>
        <color rgb="FFFFFFFF"/>
        <rFont val="Calibri"/>
        <family val="2"/>
      </rPr>
      <t>u</t>
    </r>
    <r>
      <rPr>
        <b/>
        <sz val="12"/>
        <color rgb="FFFFFFFF"/>
        <rFont val="Calibri"/>
        <family val="2"/>
      </rPr>
      <t>m</t>
    </r>
    <r>
      <rPr>
        <b/>
        <sz val="12"/>
        <color rgb="FFFFFFFF"/>
        <rFont val="Calibri"/>
        <family val="2"/>
      </rPr>
      <t>l</t>
    </r>
    <r>
      <rPr>
        <b/>
        <sz val="12"/>
        <color rgb="FFFFFFFF"/>
        <rFont val="Calibri"/>
        <family val="2"/>
      </rPr>
      <t>a</t>
    </r>
    <r>
      <rPr>
        <b/>
        <sz val="12"/>
        <color rgb="FFFFFFFF"/>
        <rFont val="Calibri"/>
        <family val="2"/>
      </rPr>
      <t xml:space="preserve">h
</t>
    </r>
    <r>
      <rPr>
        <b/>
        <sz val="12"/>
        <color rgb="FFFFFFFF"/>
        <rFont val="Calibri"/>
        <family val="2"/>
      </rPr>
      <t>P</t>
    </r>
    <r>
      <rPr>
        <b/>
        <sz val="12"/>
        <color rgb="FFFFFFFF"/>
        <rFont val="Calibri"/>
        <family val="2"/>
      </rPr>
      <t>e</t>
    </r>
    <r>
      <rPr>
        <b/>
        <sz val="12"/>
        <color rgb="FFFFFFFF"/>
        <rFont val="Calibri"/>
        <family val="2"/>
      </rPr>
      <t>n</t>
    </r>
    <r>
      <rPr>
        <b/>
        <sz val="12"/>
        <color rgb="FFFFFFFF"/>
        <rFont val="Calibri"/>
        <family val="2"/>
      </rPr>
      <t>d</t>
    </r>
    <r>
      <rPr>
        <b/>
        <sz val="12"/>
        <color rgb="FFFFFFFF"/>
        <rFont val="Calibri"/>
        <family val="2"/>
      </rPr>
      <t>u</t>
    </r>
    <r>
      <rPr>
        <b/>
        <sz val="12"/>
        <color rgb="FFFFFFFF"/>
        <rFont val="Calibri"/>
        <family val="2"/>
      </rPr>
      <t>d</t>
    </r>
    <r>
      <rPr>
        <b/>
        <sz val="12"/>
        <color rgb="FFFFFFFF"/>
        <rFont val="Calibri"/>
        <family val="2"/>
      </rPr>
      <t>u</t>
    </r>
    <r>
      <rPr>
        <b/>
        <sz val="12"/>
        <color rgb="FFFFFFFF"/>
        <rFont val="Calibri"/>
        <family val="2"/>
      </rPr>
      <t>k</t>
    </r>
  </si>
  <si>
    <t>[11] ACEH</t>
  </si>
  <si>
    <t>[01] SIMEULUE</t>
  </si>
  <si>
    <t>[010] TEUPAH SELATAN</t>
  </si>
  <si>
    <t>[001] LATIUNG</t>
  </si>
  <si>
    <t>[002] LABUHAN BAJAU</t>
  </si>
  <si>
    <t>[003] SUAK LAMATAN</t>
  </si>
  <si>
    <t>[004] ANA AO</t>
  </si>
  <si>
    <t>[005] LATALING</t>
  </si>
  <si>
    <t>[006] PULAU BENGKALAK</t>
  </si>
  <si>
    <t>[007] BADEGONG</t>
  </si>
  <si>
    <t>[008] KEBUN BARU</t>
  </si>
  <si>
    <t>[009] ULUL MANYANG</t>
  </si>
  <si>
    <t>[010] PASIR TINGGI</t>
  </si>
  <si>
    <t>[011] LABUHAN JAYA</t>
  </si>
  <si>
    <t>[012] LABUHAN BAKTI</t>
  </si>
  <si>
    <t>[013] BATU RALANG</t>
  </si>
  <si>
    <t>[014] ALUS ALUS</t>
  </si>
  <si>
    <t>[015] SEUNEUBOK</t>
  </si>
  <si>
    <t>[016] BLANG SEBEL</t>
  </si>
  <si>
    <t>[017] TRANS BARU</t>
  </si>
  <si>
    <t>[018] TRANS MERANTI</t>
  </si>
  <si>
    <t>[019] TRANS JERNGE</t>
  </si>
  <si>
    <r>
      <rPr>
        <sz val="10"/>
        <color rgb="FF000000"/>
        <rFont val="Calibri"/>
        <family val="2"/>
      </rPr>
      <t>[</t>
    </r>
    <r>
      <rPr>
        <sz val="10"/>
        <color rgb="FF000000"/>
        <rFont val="Calibri"/>
        <family val="2"/>
      </rPr>
      <t>020]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SIM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</si>
  <si>
    <r>
      <rPr>
        <sz val="10"/>
        <color rgb="FF000000"/>
        <rFont val="Calibri"/>
        <family val="2"/>
      </rPr>
      <t>[</t>
    </r>
    <r>
      <rPr>
        <sz val="10"/>
        <color rgb="FF000000"/>
        <rFont val="Calibri"/>
        <family val="2"/>
      </rPr>
      <t>001]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</si>
  <si>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t>[002] LASIKIN</t>
  </si>
  <si>
    <t>[003] LANTING</t>
  </si>
  <si>
    <t>[004] SIMPANG ABAIL</t>
  </si>
  <si>
    <t>[005] ABAIL</t>
  </si>
  <si>
    <t>[006] NANCAWA</t>
  </si>
  <si>
    <t>[007] LABUAH</t>
  </si>
  <si>
    <t>[008] SUA SUA</t>
  </si>
  <si>
    <t>[009] BATU BATU</t>
  </si>
  <si>
    <t>[010] SITUBUK</t>
  </si>
  <si>
    <t>[022] AIR PINANG</t>
  </si>
  <si>
    <t>[023] KUALA MAKMUR</t>
  </si>
  <si>
    <t>[024] GANTING</t>
  </si>
  <si>
    <t>[025] LINGGI</t>
  </si>
  <si>
    <t>[026] LUGU</t>
  </si>
  <si>
    <t>[027] SINABANG</t>
  </si>
  <si>
    <t>[028] SUKA MAJU</t>
  </si>
  <si>
    <t>[029] SUKA KARYA</t>
  </si>
  <si>
    <t>[030] SUKA JAYA</t>
  </si>
  <si>
    <t>[031] AIR DINGIN</t>
  </si>
  <si>
    <t>[032] KOTA BATU</t>
  </si>
  <si>
    <t>[033] BUSUNG INDAH</t>
  </si>
  <si>
    <t>[034] KAHAT</t>
  </si>
  <si>
    <t>[035] SUAK BULUH</t>
  </si>
  <si>
    <t>[036] UJUNG TINGGI</t>
  </si>
  <si>
    <t>[037] PULAU SIUMAT</t>
  </si>
  <si>
    <t>[038] SEFOYAN</t>
  </si>
  <si>
    <t>[039] AMAITENG MULIA</t>
  </si>
  <si>
    <t>[040] AMERIA BAHAGIA</t>
  </si>
  <si>
    <r>
      <rPr>
        <sz val="10"/>
        <color rgb="FF000000"/>
        <rFont val="Calibri"/>
        <family val="2"/>
      </rPr>
      <t>[</t>
    </r>
    <r>
      <rPr>
        <sz val="10"/>
        <color rgb="FF000000"/>
        <rFont val="Calibri"/>
        <family val="2"/>
      </rPr>
      <t>021]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BARAT</t>
    </r>
  </si>
  <si>
    <r>
      <rPr>
        <sz val="10"/>
        <color rgb="FF000000"/>
        <rFont val="Calibri"/>
        <family val="2"/>
      </rPr>
      <t>[</t>
    </r>
    <r>
      <rPr>
        <sz val="10"/>
        <color rgb="FF000000"/>
        <rFont val="Calibri"/>
        <family val="2"/>
      </rPr>
      <t>001]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AL</t>
    </r>
  </si>
  <si>
    <t>[002] LEUBANG</t>
  </si>
  <si>
    <t>[003] LEUBANG HULU</t>
  </si>
  <si>
    <t>[004] AWE SEUBAL</t>
  </si>
  <si>
    <t>[005] LANTIK</t>
  </si>
  <si>
    <t>[006] AWE KECIL</t>
  </si>
  <si>
    <t>[007] SALUR</t>
  </si>
  <si>
    <t>[008] SALUR LATUN</t>
  </si>
  <si>
    <t>[009] SALUR LASENGALU</t>
  </si>
  <si>
    <t>[010] NANCALA</t>
  </si>
  <si>
    <t>[011] MAUDIL</t>
  </si>
  <si>
    <t>[012] INOR</t>
  </si>
  <si>
    <t>[013] NAIBOS</t>
  </si>
  <si>
    <t>[014] LAAYON</t>
  </si>
  <si>
    <t>[015] ANGKEO</t>
  </si>
  <si>
    <t>[016] BUNON</t>
  </si>
  <si>
    <t>[017] SILENGAS</t>
  </si>
  <si>
    <t>[018] PULAU TEUPAH</t>
  </si>
  <si>
    <r>
      <rPr>
        <sz val="10"/>
        <color rgb="FF000000"/>
        <rFont val="Calibri"/>
        <family val="2"/>
      </rPr>
      <t>[</t>
    </r>
    <r>
      <rPr>
        <sz val="10"/>
        <color rgb="FF000000"/>
        <rFont val="Calibri"/>
        <family val="2"/>
      </rPr>
      <t>030]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SIM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AH</t>
    </r>
  </si>
  <si>
    <r>
      <rPr>
        <sz val="10"/>
        <color rgb="FF000000"/>
        <rFont val="Calibri"/>
        <family val="2"/>
      </rPr>
      <t>[</t>
    </r>
    <r>
      <rPr>
        <sz val="10"/>
        <color rgb="FF000000"/>
        <rFont val="Calibri"/>
        <family val="2"/>
      </rPr>
      <t>001]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DI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IT</t>
    </r>
  </si>
  <si>
    <t>[002] LAUKE</t>
  </si>
  <si>
    <t>[003] LAMBAYA</t>
  </si>
  <si>
    <t>[004] LAKUBANG</t>
  </si>
  <si>
    <t>[005] KAMPUNG AIE</t>
  </si>
  <si>
    <t>[006] LAUREE</t>
  </si>
  <si>
    <t>[007] LATITIK</t>
  </si>
  <si>
    <t>[008] LAMAYANG</t>
  </si>
  <si>
    <t>[009] WEL WEL</t>
  </si>
  <si>
    <t>[010] BUBUHAN</t>
  </si>
  <si>
    <t>[011] AMARABU</t>
  </si>
  <si>
    <t>[012] KUTA INANG</t>
  </si>
  <si>
    <t>[013] KUTA PADANG</t>
  </si>
  <si>
    <t>[014] LATAK AYAH</t>
  </si>
  <si>
    <t>[015] SIBULUH</t>
  </si>
  <si>
    <t>[016] BORENGAN</t>
  </si>
  <si>
    <t>[017] UJUNG PADANG</t>
  </si>
  <si>
    <t>[020] SITUFA JAYA</t>
  </si>
  <si>
    <t>[021] PUTRA JAYA</t>
  </si>
  <si>
    <t>[022] LUAN SORIP</t>
  </si>
  <si>
    <t>[023] SUAK BARU</t>
  </si>
  <si>
    <t>[024] SEBBE</t>
  </si>
  <si>
    <t>[025] KUTA BATU</t>
  </si>
  <si>
    <t>[026] WEL LANGKOM</t>
  </si>
  <si>
    <r>
      <rPr>
        <sz val="10"/>
        <color rgb="FF000000"/>
        <rFont val="Calibri"/>
        <family val="2"/>
      </rPr>
      <t>[</t>
    </r>
    <r>
      <rPr>
        <sz val="10"/>
        <color rgb="FF000000"/>
        <rFont val="Calibri"/>
        <family val="2"/>
      </rPr>
      <t>031]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DALAM</t>
    </r>
  </si>
  <si>
    <r>
      <rPr>
        <sz val="10"/>
        <color rgb="FF000000"/>
        <rFont val="Calibri"/>
        <family val="2"/>
      </rPr>
      <t>[</t>
    </r>
    <r>
      <rPr>
        <sz val="10"/>
        <color rgb="FF000000"/>
        <rFont val="Calibri"/>
        <family val="2"/>
      </rPr>
      <t>001]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</si>
  <si>
    <t>[002] LUGU SEBAHAK</t>
  </si>
  <si>
    <t>[003] GUNUNG PUTIH</t>
  </si>
  <si>
    <t>[004] BABUSSALAM</t>
  </si>
  <si>
    <t>[005] MUARA AMAN</t>
  </si>
  <si>
    <t>[006] LUAN BALU</t>
  </si>
  <si>
    <t>[007] SAMBAI</t>
  </si>
  <si>
    <t>[008] KUALA BARU</t>
  </si>
  <si>
    <t>[009] TANJUNG RAYA</t>
  </si>
  <si>
    <t>[010] BULU HADIK</t>
  </si>
  <si>
    <r>
      <rPr>
        <sz val="10"/>
        <color rgb="FF000000"/>
        <rFont val="Calibri"/>
        <family val="2"/>
      </rPr>
      <t>[</t>
    </r>
    <r>
      <rPr>
        <sz val="10"/>
        <color rgb="FF000000"/>
        <rFont val="Calibri"/>
        <family val="2"/>
      </rPr>
      <t>040]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</si>
  <si>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r>
      <rPr>
        <sz val="10"/>
        <color rgb="FF000000"/>
        <rFont val="Calibri"/>
        <family val="2"/>
      </rPr>
      <t>[</t>
    </r>
    <r>
      <rPr>
        <sz val="10"/>
        <color rgb="FF000000"/>
        <rFont val="Calibri"/>
        <family val="2"/>
      </rPr>
      <t>001]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</si>
  <si>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t>[002] PADANG UNOI</t>
  </si>
  <si>
    <t>[003] MEUNAFA</t>
  </si>
  <si>
    <t>[004] NASREUHE</t>
  </si>
  <si>
    <t>[005] ALONG</t>
  </si>
  <si>
    <t>[006] PANTON LAWE</t>
  </si>
  <si>
    <t>[007] MUTIARA</t>
  </si>
  <si>
    <t>[008] KARYA BAKTI</t>
  </si>
  <si>
    <t>[009] TAMON</t>
  </si>
  <si>
    <t>[010] JAYA BARU</t>
  </si>
  <si>
    <t>[011] TAMENG</t>
  </si>
  <si>
    <t>[012] LALLA</t>
  </si>
  <si>
    <t>PROVID</t>
  </si>
  <si>
    <t>KABID</t>
  </si>
  <si>
    <t>CAMID</t>
  </si>
  <si>
    <t>DESAID</t>
  </si>
  <si>
    <t>JUMLAH PENDUDUK</t>
  </si>
  <si>
    <t>PROVINSI</t>
  </si>
  <si>
    <t>KABUPATEN</t>
  </si>
  <si>
    <t>KECAMATAN</t>
  </si>
  <si>
    <t>DESA</t>
  </si>
  <si>
    <t>Jumlah
Penduduk</t>
  </si>
  <si>
    <t>ACEH</t>
  </si>
  <si>
    <t>SIMEULUE</t>
  </si>
  <si>
    <t>TEUPAH SELATAN</t>
  </si>
  <si>
    <t>LATIUNG</t>
  </si>
  <si>
    <t>LABUHAN BAJAU</t>
  </si>
  <si>
    <t>SUAK LAMATAN</t>
  </si>
  <si>
    <t>ANA AO</t>
  </si>
  <si>
    <t>LATALING</t>
  </si>
  <si>
    <t>PULAU BENGKALAK</t>
  </si>
  <si>
    <t>BADEGONG</t>
  </si>
  <si>
    <t>KEBUN BARU</t>
  </si>
  <si>
    <t>ULUL MANYANG</t>
  </si>
  <si>
    <t>PASIR TINGGI</t>
  </si>
  <si>
    <t>LABUHAN JAYA</t>
  </si>
  <si>
    <t>LABUHAN BAKTI</t>
  </si>
  <si>
    <t>BATU RALANG</t>
  </si>
  <si>
    <t>ALUS ALUS</t>
  </si>
  <si>
    <t>SEUNEUBOK</t>
  </si>
  <si>
    <t>BLANG SEBEL</t>
  </si>
  <si>
    <t>TRANS BARU</t>
  </si>
  <si>
    <t>TRANS MERANTI</t>
  </si>
  <si>
    <t>TRANS JERNGE</t>
  </si>
  <si>
    <t>[020] SIMEULUE TIMUR</t>
  </si>
  <si>
    <t>[001] MATANURUNG</t>
  </si>
  <si>
    <t>SIMEULUE TIMUR</t>
  </si>
  <si>
    <t>MATANURUNG</t>
  </si>
  <si>
    <t>LASIKIN</t>
  </si>
  <si>
    <t>LANTING</t>
  </si>
  <si>
    <t>SIMPANG ABAIL</t>
  </si>
  <si>
    <t>ABAIL</t>
  </si>
  <si>
    <t>NANCAWA</t>
  </si>
  <si>
    <t>LABUAH</t>
  </si>
  <si>
    <t>SUA SUA</t>
  </si>
  <si>
    <t>BATU BATU</t>
  </si>
  <si>
    <t>SITUBUK</t>
  </si>
  <si>
    <t>AIR PINANG</t>
  </si>
  <si>
    <t>KUALA MAKMUR</t>
  </si>
  <si>
    <t>GANTING</t>
  </si>
  <si>
    <t>LINGGI</t>
  </si>
  <si>
    <t>LUGU</t>
  </si>
  <si>
    <t>SINABANG</t>
  </si>
  <si>
    <t>SUKA MAJU</t>
  </si>
  <si>
    <t>SUKA KARYA</t>
  </si>
  <si>
    <t>SUKA JAYA</t>
  </si>
  <si>
    <t>AIR DINGIN</t>
  </si>
  <si>
    <t>KOTA BATU</t>
  </si>
  <si>
    <t>BUSUNG INDAH</t>
  </si>
  <si>
    <t>KAHAT</t>
  </si>
  <si>
    <t>SUAK BULUH</t>
  </si>
  <si>
    <t>UJUNG TINGGI</t>
  </si>
  <si>
    <t>PULAU SIUMAT</t>
  </si>
  <si>
    <t>SEFOYAN</t>
  </si>
  <si>
    <t>AMAITENG MULIA</t>
  </si>
  <si>
    <t>AMERIA BAHAGIA</t>
  </si>
  <si>
    <t>[021] TEUPAH BARAT</t>
  </si>
  <si>
    <t>[001] SITAL</t>
  </si>
  <si>
    <t>TEUPAH BARAT</t>
  </si>
  <si>
    <t>SITAL</t>
  </si>
  <si>
    <t>LEUBANG</t>
  </si>
  <si>
    <t>LEUBANG HULU</t>
  </si>
  <si>
    <t>AWE SEUBAL</t>
  </si>
  <si>
    <t>LANTIK</t>
  </si>
  <si>
    <t>AWE KECIL</t>
  </si>
  <si>
    <t>SALUR</t>
  </si>
  <si>
    <t>SALUR LATUN</t>
  </si>
  <si>
    <t>SALUR LASENGALU</t>
  </si>
  <si>
    <t>NANCALA</t>
  </si>
  <si>
    <t>MAUDIL</t>
  </si>
  <si>
    <t>INOR</t>
  </si>
  <si>
    <t>NAIBOS</t>
  </si>
  <si>
    <t>LAAYON</t>
  </si>
  <si>
    <t>ANGKEO</t>
  </si>
  <si>
    <t>BUNON</t>
  </si>
  <si>
    <t>SILENGAS</t>
  </si>
  <si>
    <t>PULAU TEUPAH</t>
  </si>
  <si>
    <t>[030] SIMEULUE TENGAH</t>
  </si>
  <si>
    <t>[001] DIHIT</t>
  </si>
  <si>
    <t>SIMEULUE TENGAH</t>
  </si>
  <si>
    <t>DIHIT</t>
  </si>
  <si>
    <t>LAUKE</t>
  </si>
  <si>
    <t>LAMBAYA</t>
  </si>
  <si>
    <t>LAKUBANG</t>
  </si>
  <si>
    <t>KAMPUNG AIE</t>
  </si>
  <si>
    <t>LAUREE</t>
  </si>
  <si>
    <t>LATITIK</t>
  </si>
  <si>
    <t>LAMAYANG</t>
  </si>
  <si>
    <t>WEL WEL</t>
  </si>
  <si>
    <t>BUBUHAN</t>
  </si>
  <si>
    <t>AMARABU</t>
  </si>
  <si>
    <t>KUTA INANG</t>
  </si>
  <si>
    <t>KUTA PADANG</t>
  </si>
  <si>
    <t>LATAK AYAH</t>
  </si>
  <si>
    <t>SIBULUH</t>
  </si>
  <si>
    <t>BORENGAN</t>
  </si>
  <si>
    <t>UJUNG PADANG</t>
  </si>
  <si>
    <t>SITUFA JAYA</t>
  </si>
  <si>
    <t>PUTRA JAYA</t>
  </si>
  <si>
    <t>LUAN SORIP</t>
  </si>
  <si>
    <t>SUAK BARU</t>
  </si>
  <si>
    <t>SEBBE</t>
  </si>
  <si>
    <t>KUTA BATU</t>
  </si>
  <si>
    <t>WEL LANGKOM</t>
  </si>
  <si>
    <t>[031] TELUK DALAM</t>
  </si>
  <si>
    <t>[001] KUALA BAKTI</t>
  </si>
  <si>
    <t>TELUK DALAM</t>
  </si>
  <si>
    <t>KUALA BAKTI</t>
  </si>
  <si>
    <t>LUGU SEBAHAK</t>
  </si>
  <si>
    <t>GUNUNG PUTIH</t>
  </si>
  <si>
    <t>BABUSSALAM</t>
  </si>
  <si>
    <t>MUARA AMAN</t>
  </si>
  <si>
    <t>LUAN BALU</t>
  </si>
  <si>
    <t>SAMBAI</t>
  </si>
  <si>
    <t>KUALA BARU</t>
  </si>
  <si>
    <t>TANJUNG RAYA</t>
  </si>
  <si>
    <t>BULU HADIK</t>
  </si>
  <si>
    <t>[040] SALANG</t>
  </si>
  <si>
    <t>[001] UJUNG SALANG</t>
  </si>
  <si>
    <t>SALANG</t>
  </si>
  <si>
    <t>UJUNG SALANG</t>
  </si>
  <si>
    <t>PADANG UNOI</t>
  </si>
  <si>
    <t>MEUNAFA</t>
  </si>
  <si>
    <t>NASREUHE</t>
  </si>
  <si>
    <t>ALONG</t>
  </si>
  <si>
    <t>PANTON LAWE</t>
  </si>
  <si>
    <t>MUTIARA</t>
  </si>
  <si>
    <t>KARYA BAKTI</t>
  </si>
  <si>
    <t>TAMON</t>
  </si>
  <si>
    <t>JAYA BARU</t>
  </si>
  <si>
    <t>TAMENG</t>
  </si>
  <si>
    <t>LALLA</t>
  </si>
  <si>
    <t>VARID</t>
  </si>
  <si>
    <t>VARIABLE</t>
  </si>
  <si>
    <t>SHEET</t>
  </si>
  <si>
    <t>DISKRIPSI</t>
  </si>
  <si>
    <t>KODE KATEGORI PROVINSI</t>
  </si>
  <si>
    <t>KODE KATEGORI KABUPATEN</t>
  </si>
  <si>
    <t>KODE KATEGORI KECAMATAN</t>
  </si>
  <si>
    <t>KODE KATEGORI DESA</t>
  </si>
  <si>
    <t>Judul</t>
  </si>
  <si>
    <t>:</t>
  </si>
  <si>
    <t>Data Penduduk Indonesia Menurut Desa (Sensus tahun 2010)</t>
  </si>
  <si>
    <t>Sumber</t>
  </si>
  <si>
    <t>BPS, 2010</t>
  </si>
  <si>
    <t>Tanggal</t>
  </si>
  <si>
    <t>Nama</t>
  </si>
  <si>
    <t>NIM</t>
  </si>
  <si>
    <t>Prodi</t>
  </si>
  <si>
    <t>Kontak</t>
  </si>
  <si>
    <t>Edit Tanggal</t>
  </si>
  <si>
    <t>Oleh</t>
  </si>
  <si>
    <t>Versi</t>
  </si>
  <si>
    <t>NAMA PROVINSI</t>
  </si>
  <si>
    <t>NAMA KABUPATEN</t>
  </si>
  <si>
    <t>NAMA KECAMATAN</t>
  </si>
  <si>
    <t>NAMA DESA</t>
  </si>
  <si>
    <t>RUMUS, NO RUMUS, PROVID, DATA</t>
  </si>
  <si>
    <t>RUMUS, NO RUMUS, KABID, DATA</t>
  </si>
  <si>
    <t>RUMUS, NO RUMUS, CAMID, DATA</t>
  </si>
  <si>
    <t>RUMUS, NO RUMUS, DESAID, DATA</t>
  </si>
  <si>
    <t>RUMUS, NO RUMUS, DATA</t>
  </si>
  <si>
    <t>STATISTIK</t>
  </si>
  <si>
    <t>POPULASI</t>
  </si>
  <si>
    <t>SAMPEL</t>
  </si>
  <si>
    <t>N</t>
  </si>
  <si>
    <r>
      <t xml:space="preserve">Mean ( </t>
    </r>
    <r>
      <rPr>
        <sz val="11"/>
        <color indexed="8"/>
        <rFont val="Calibri"/>
        <family val="2"/>
      </rPr>
      <t>µ</t>
    </r>
    <r>
      <rPr>
        <sz val="11"/>
        <color indexed="8"/>
        <rFont val="Calibri"/>
        <family val="2"/>
        <charset val="204"/>
      </rPr>
      <t>,x )</t>
    </r>
  </si>
  <si>
    <t>STDEV / S</t>
  </si>
  <si>
    <t>SE</t>
  </si>
  <si>
    <t>Thit</t>
  </si>
  <si>
    <t>Ttab</t>
  </si>
  <si>
    <t>Rumus:</t>
  </si>
  <si>
    <t>=</t>
  </si>
  <si>
    <t>23 Februari 2021</t>
  </si>
  <si>
    <t>Dear Berliana Putri</t>
  </si>
  <si>
    <t>Ilmu Kelautan</t>
  </si>
  <si>
    <t>dearberliana@gmail.com</t>
  </si>
  <si>
    <t>Hipotesis</t>
  </si>
  <si>
    <t>H0 =</t>
  </si>
  <si>
    <t>H1 =</t>
  </si>
  <si>
    <t>Kesimpulan:</t>
  </si>
  <si>
    <t>13 Maret 2021</t>
  </si>
  <si>
    <t>Faiz Ni'matul Haq</t>
  </si>
  <si>
    <t>faizkurosaki@gmail.com</t>
  </si>
  <si>
    <t>DATAID</t>
  </si>
  <si>
    <t>RANDBETWEEN</t>
  </si>
  <si>
    <t>RANDOM</t>
  </si>
  <si>
    <t xml:space="preserve">JUMLAH </t>
  </si>
  <si>
    <t>Sampel Penduduk di Povinsi Aceh dapat mewakili populasi penduduk di provinsi Aceh</t>
  </si>
  <si>
    <t>Sampel Penduduk di Povinsi Aceh tidak dapat mewakili populasi penduduk di provinsi Aceh</t>
  </si>
  <si>
    <t xml:space="preserve"> Thit &gt; Ttable, Terima H1 (Tolak H0). Jadi dapat disimpulkan bahwa Sampel Penduduk di Povinsi Aceh tidak dapat mewakili populasi penduduk di provinsi Aceh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</si>
</sst>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rgb="FF000000"/>
      <name val="Calibri"/>
      <family val="2"/>
      <charset val="204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FFFFFF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97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9" fillId="0" borderId="1"/>
  </cellStyleXfs>
  <cellXfs count="29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/>
    <xf numFmtId="0" fontId="2" fillId="0" borderId="1" xfId="0" applyNumberFormat="1" applyFont="1" applyBorder="1" applyAlignment="1">
      <alignment horizontal="right" vertical="top" wrapText="1"/>
    </xf>
    <xf numFmtId="0" fontId="0" fillId="0" borderId="1" xfId="0" applyNumberFormat="1" applyBorder="1"/>
    <xf numFmtId="164" fontId="0" fillId="0" borderId="0" xfId="0" applyNumberFormat="1"/>
    <xf numFmtId="0" fontId="0" fillId="0" borderId="0" xfId="0" applyAlignment="1"/>
    <xf numFmtId="1" fontId="0" fillId="0" borderId="0" xfId="0" applyNumberFormat="1" applyAlignment="1"/>
    <xf numFmtId="1" fontId="0" fillId="0" borderId="0" xfId="0" applyNumberFormat="1" applyAlignment="1">
      <alignment horizontal="left" vertical="top"/>
    </xf>
    <xf numFmtId="0" fontId="4" fillId="0" borderId="0" xfId="1" applyFont="1" applyAlignment="1"/>
    <xf numFmtId="164" fontId="0" fillId="0" borderId="0" xfId="0" applyNumberFormat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applyAlignment="1">
      <alignment vertical="top"/>
    </xf>
    <xf numFmtId="0" fontId="3" fillId="0" borderId="0" xfId="1"/>
    <xf numFmtId="0" fontId="3" fillId="0" borderId="0" xfId="1" applyAlignment="1">
      <alignment wrapText="1"/>
    </xf>
    <xf numFmtId="0" fontId="1" fillId="2" borderId="1" xfId="2" applyFont="1" applyFill="1" applyBorder="1" applyAlignment="1">
      <alignment horizontal="left" vertical="top"/>
    </xf>
    <xf numFmtId="0" fontId="9" fillId="0" borderId="1" xfId="2"/>
    <xf numFmtId="1" fontId="9" fillId="0" borderId="1" xfId="2" applyNumberFormat="1"/>
    <xf numFmtId="0" fontId="9" fillId="0" borderId="1" xfId="2" applyNumberFormat="1"/>
    <xf numFmtId="2" fontId="0" fillId="0" borderId="0" xfId="0" applyNumberFormat="1"/>
    <xf numFmtId="0" fontId="0" fillId="3" borderId="0" xfId="0" applyFill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6</xdr:col>
      <xdr:colOff>390525</xdr:colOff>
      <xdr:row>10</xdr:row>
      <xdr:rowOff>9525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1DD5131-C791-45E2-ADB0-1DF168EA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524000"/>
          <a:ext cx="3905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</xdr:colOff>
      <xdr:row>5</xdr:row>
      <xdr:rowOff>0</xdr:rowOff>
    </xdr:from>
    <xdr:to>
      <xdr:col>6</xdr:col>
      <xdr:colOff>561975</xdr:colOff>
      <xdr:row>7</xdr:row>
      <xdr:rowOff>95250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7ADE83C-7909-4BF9-BE45-733BB7F5C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952500"/>
          <a:ext cx="5524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cuments/Penduduk-Indonesia-Menurut-Desa-2010%20praktikum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DUL"/>
      <sheetName val="VARIABEL"/>
      <sheetName val="RUMUS"/>
      <sheetName val="NO RUMUS"/>
      <sheetName val="PROVID"/>
      <sheetName val="KABID"/>
      <sheetName val="CAMID"/>
      <sheetName val="DESAID"/>
      <sheetName val="DATA"/>
      <sheetName val="SAMPLING"/>
      <sheetName val="STATISTIK"/>
      <sheetName val="JUMLAH PENDUDUK_UJI 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>
            <v>11</v>
          </cell>
          <cell r="B2" t="str">
            <v>ACEH</v>
          </cell>
        </row>
      </sheetData>
      <sheetData sheetId="5">
        <row r="2">
          <cell r="A2">
            <v>1101</v>
          </cell>
          <cell r="B2" t="str">
            <v>SIMEULUE</v>
          </cell>
        </row>
      </sheetData>
      <sheetData sheetId="6">
        <row r="2">
          <cell r="A2">
            <v>1101010</v>
          </cell>
          <cell r="B2" t="str">
            <v xml:space="preserve"> TEUPAH SELATAN</v>
          </cell>
        </row>
        <row r="3">
          <cell r="A3">
            <v>1101020</v>
          </cell>
          <cell r="B3" t="str">
            <v xml:space="preserve"> SIMEULUE TIMUR</v>
          </cell>
        </row>
        <row r="4">
          <cell r="A4">
            <v>1101021</v>
          </cell>
          <cell r="B4" t="str">
            <v xml:space="preserve"> TEUPAH BARAT</v>
          </cell>
        </row>
        <row r="5">
          <cell r="A5">
            <v>1101030</v>
          </cell>
          <cell r="B5" t="str">
            <v xml:space="preserve"> SIMEULUE TENGAH</v>
          </cell>
        </row>
        <row r="6">
          <cell r="A6">
            <v>1101031</v>
          </cell>
          <cell r="B6" t="str">
            <v xml:space="preserve"> TELUK DALAM</v>
          </cell>
        </row>
        <row r="7">
          <cell r="A7">
            <v>1101040</v>
          </cell>
          <cell r="B7" t="str">
            <v xml:space="preserve"> SALANG</v>
          </cell>
        </row>
      </sheetData>
      <sheetData sheetId="7">
        <row r="2">
          <cell r="A2">
            <v>1101010001</v>
          </cell>
          <cell r="B2" t="str">
            <v xml:space="preserve"> LATIUNG</v>
          </cell>
        </row>
        <row r="3">
          <cell r="A3">
            <v>1101010002</v>
          </cell>
          <cell r="B3" t="str">
            <v xml:space="preserve"> LABUHAN BAJAU</v>
          </cell>
        </row>
        <row r="4">
          <cell r="A4">
            <v>1101010003</v>
          </cell>
          <cell r="B4" t="str">
            <v xml:space="preserve"> SUAK LAMATAN</v>
          </cell>
        </row>
        <row r="5">
          <cell r="A5">
            <v>1101010004</v>
          </cell>
          <cell r="B5" t="str">
            <v xml:space="preserve"> ANA AO</v>
          </cell>
        </row>
        <row r="6">
          <cell r="A6">
            <v>1101010005</v>
          </cell>
          <cell r="B6" t="str">
            <v xml:space="preserve"> LATALING</v>
          </cell>
        </row>
        <row r="7">
          <cell r="A7">
            <v>1101010006</v>
          </cell>
          <cell r="B7" t="str">
            <v xml:space="preserve"> PULAU BENGKALAK</v>
          </cell>
        </row>
        <row r="8">
          <cell r="A8">
            <v>1101010007</v>
          </cell>
          <cell r="B8" t="str">
            <v xml:space="preserve"> BADEGONG</v>
          </cell>
        </row>
        <row r="9">
          <cell r="A9">
            <v>1101010008</v>
          </cell>
          <cell r="B9" t="str">
            <v xml:space="preserve"> KEBUN BARU</v>
          </cell>
        </row>
        <row r="10">
          <cell r="A10">
            <v>1101010009</v>
          </cell>
          <cell r="B10" t="str">
            <v xml:space="preserve"> ULUL MANYANG</v>
          </cell>
        </row>
        <row r="11">
          <cell r="A11">
            <v>1101010010</v>
          </cell>
          <cell r="B11" t="str">
            <v xml:space="preserve"> PASIR TINGGI</v>
          </cell>
        </row>
        <row r="12">
          <cell r="A12">
            <v>1101010011</v>
          </cell>
          <cell r="B12" t="str">
            <v xml:space="preserve"> LABUHAN JAYA</v>
          </cell>
        </row>
        <row r="13">
          <cell r="A13">
            <v>1101010012</v>
          </cell>
          <cell r="B13" t="str">
            <v xml:space="preserve"> LABUHAN BAKTI</v>
          </cell>
        </row>
        <row r="14">
          <cell r="A14">
            <v>1101010013</v>
          </cell>
          <cell r="B14" t="str">
            <v xml:space="preserve"> BATU RALANG</v>
          </cell>
        </row>
        <row r="15">
          <cell r="A15">
            <v>1101010014</v>
          </cell>
          <cell r="B15" t="str">
            <v xml:space="preserve"> ALUS ALUS</v>
          </cell>
        </row>
        <row r="16">
          <cell r="A16">
            <v>1101010015</v>
          </cell>
          <cell r="B16" t="str">
            <v xml:space="preserve"> SEUNEUBOK</v>
          </cell>
        </row>
        <row r="17">
          <cell r="A17">
            <v>1101010016</v>
          </cell>
          <cell r="B17" t="str">
            <v xml:space="preserve"> BLANG SEBEL</v>
          </cell>
        </row>
        <row r="18">
          <cell r="A18">
            <v>1101010017</v>
          </cell>
          <cell r="B18" t="str">
            <v xml:space="preserve"> TRANS BARU</v>
          </cell>
        </row>
        <row r="19">
          <cell r="A19">
            <v>1101010018</v>
          </cell>
          <cell r="B19" t="str">
            <v xml:space="preserve"> TRANS MERANTI</v>
          </cell>
        </row>
        <row r="20">
          <cell r="A20">
            <v>1101010019</v>
          </cell>
          <cell r="B20" t="str">
            <v xml:space="preserve"> TRANS JERNGE</v>
          </cell>
        </row>
        <row r="21">
          <cell r="A21">
            <v>1101020001</v>
          </cell>
          <cell r="B21" t="str">
            <v xml:space="preserve"> MATANURUNG</v>
          </cell>
        </row>
        <row r="22">
          <cell r="A22">
            <v>1101020002</v>
          </cell>
          <cell r="B22" t="str">
            <v xml:space="preserve"> LASIKIN</v>
          </cell>
        </row>
        <row r="23">
          <cell r="A23">
            <v>1101020003</v>
          </cell>
          <cell r="B23" t="str">
            <v xml:space="preserve"> LANTING</v>
          </cell>
        </row>
        <row r="24">
          <cell r="A24">
            <v>1101020004</v>
          </cell>
          <cell r="B24" t="str">
            <v xml:space="preserve"> SIMPANG ABAIL</v>
          </cell>
        </row>
        <row r="25">
          <cell r="A25">
            <v>1101020005</v>
          </cell>
          <cell r="B25" t="str">
            <v xml:space="preserve"> ABAIL</v>
          </cell>
        </row>
        <row r="26">
          <cell r="A26">
            <v>1101020006</v>
          </cell>
          <cell r="B26" t="str">
            <v xml:space="preserve"> NANCAWA</v>
          </cell>
        </row>
        <row r="27">
          <cell r="A27">
            <v>1101020007</v>
          </cell>
          <cell r="B27" t="str">
            <v xml:space="preserve"> LABUAH</v>
          </cell>
        </row>
        <row r="28">
          <cell r="A28">
            <v>1101020008</v>
          </cell>
          <cell r="B28" t="str">
            <v xml:space="preserve"> SUA SUA</v>
          </cell>
        </row>
        <row r="29">
          <cell r="A29">
            <v>1101020009</v>
          </cell>
          <cell r="B29" t="str">
            <v xml:space="preserve"> BATU BATU</v>
          </cell>
        </row>
        <row r="30">
          <cell r="A30">
            <v>1101020010</v>
          </cell>
          <cell r="B30" t="str">
            <v xml:space="preserve"> SITUBUK</v>
          </cell>
        </row>
        <row r="31">
          <cell r="A31">
            <v>1101020022</v>
          </cell>
          <cell r="B31" t="str">
            <v xml:space="preserve"> AIR PINANG</v>
          </cell>
        </row>
        <row r="32">
          <cell r="A32">
            <v>1101020023</v>
          </cell>
          <cell r="B32" t="str">
            <v xml:space="preserve"> KUALA MAKMUR</v>
          </cell>
        </row>
        <row r="33">
          <cell r="A33">
            <v>1101020024</v>
          </cell>
          <cell r="B33" t="str">
            <v xml:space="preserve"> GANTING</v>
          </cell>
        </row>
        <row r="34">
          <cell r="A34">
            <v>1101020025</v>
          </cell>
          <cell r="B34" t="str">
            <v xml:space="preserve"> LINGGI</v>
          </cell>
        </row>
        <row r="35">
          <cell r="A35">
            <v>1101020026</v>
          </cell>
          <cell r="B35" t="str">
            <v xml:space="preserve"> LUGU</v>
          </cell>
        </row>
        <row r="36">
          <cell r="A36">
            <v>1101020027</v>
          </cell>
          <cell r="B36" t="str">
            <v xml:space="preserve"> SINABANG</v>
          </cell>
        </row>
        <row r="37">
          <cell r="A37">
            <v>1101020028</v>
          </cell>
          <cell r="B37" t="str">
            <v xml:space="preserve"> SUKA MAJU</v>
          </cell>
        </row>
        <row r="38">
          <cell r="A38">
            <v>1101020029</v>
          </cell>
          <cell r="B38" t="str">
            <v xml:space="preserve"> SUKA KARYA</v>
          </cell>
        </row>
        <row r="39">
          <cell r="A39">
            <v>1101020030</v>
          </cell>
          <cell r="B39" t="str">
            <v xml:space="preserve"> SUKA JAYA</v>
          </cell>
        </row>
        <row r="40">
          <cell r="A40">
            <v>1101020031</v>
          </cell>
          <cell r="B40" t="str">
            <v xml:space="preserve"> AIR DINGIN</v>
          </cell>
        </row>
        <row r="41">
          <cell r="A41">
            <v>1101020032</v>
          </cell>
          <cell r="B41" t="str">
            <v xml:space="preserve"> KOTA BATU</v>
          </cell>
        </row>
        <row r="42">
          <cell r="A42">
            <v>1101020033</v>
          </cell>
          <cell r="B42" t="str">
            <v xml:space="preserve"> BUSUNG INDAH</v>
          </cell>
        </row>
        <row r="43">
          <cell r="A43">
            <v>1101020034</v>
          </cell>
          <cell r="B43" t="str">
            <v xml:space="preserve"> KAHAT</v>
          </cell>
        </row>
        <row r="44">
          <cell r="A44">
            <v>1101020035</v>
          </cell>
          <cell r="B44" t="str">
            <v xml:space="preserve"> SUAK BULUH</v>
          </cell>
        </row>
        <row r="45">
          <cell r="A45">
            <v>1101020036</v>
          </cell>
          <cell r="B45" t="str">
            <v xml:space="preserve"> UJUNG TINGGI</v>
          </cell>
        </row>
        <row r="46">
          <cell r="A46">
            <v>1101020037</v>
          </cell>
          <cell r="B46" t="str">
            <v xml:space="preserve"> PULAU SIUMAT</v>
          </cell>
        </row>
        <row r="47">
          <cell r="A47">
            <v>1101020038</v>
          </cell>
          <cell r="B47" t="str">
            <v xml:space="preserve"> SEFOYAN</v>
          </cell>
        </row>
        <row r="48">
          <cell r="A48">
            <v>1101020039</v>
          </cell>
          <cell r="B48" t="str">
            <v xml:space="preserve"> AMAITENG MULIA</v>
          </cell>
        </row>
        <row r="49">
          <cell r="A49">
            <v>1101020040</v>
          </cell>
          <cell r="B49" t="str">
            <v xml:space="preserve"> AMERIA BAHAGIA</v>
          </cell>
        </row>
        <row r="50">
          <cell r="A50">
            <v>1101021001</v>
          </cell>
          <cell r="B50" t="str">
            <v xml:space="preserve"> SITAL</v>
          </cell>
        </row>
        <row r="51">
          <cell r="A51">
            <v>1101021002</v>
          </cell>
          <cell r="B51" t="str">
            <v xml:space="preserve"> LEUBANG</v>
          </cell>
        </row>
        <row r="52">
          <cell r="A52">
            <v>1101021003</v>
          </cell>
          <cell r="B52" t="str">
            <v xml:space="preserve"> LEUBANG HULU</v>
          </cell>
        </row>
        <row r="53">
          <cell r="A53">
            <v>1101021004</v>
          </cell>
          <cell r="B53" t="str">
            <v xml:space="preserve"> AWE SEUBAL</v>
          </cell>
        </row>
        <row r="54">
          <cell r="A54">
            <v>1101021005</v>
          </cell>
          <cell r="B54" t="str">
            <v xml:space="preserve"> LANTIK</v>
          </cell>
        </row>
        <row r="55">
          <cell r="A55">
            <v>1101021006</v>
          </cell>
          <cell r="B55" t="str">
            <v xml:space="preserve"> AWE KECIL</v>
          </cell>
        </row>
        <row r="56">
          <cell r="A56">
            <v>1101021007</v>
          </cell>
          <cell r="B56" t="str">
            <v xml:space="preserve"> SALUR</v>
          </cell>
        </row>
        <row r="57">
          <cell r="A57">
            <v>1101021008</v>
          </cell>
          <cell r="B57" t="str">
            <v xml:space="preserve"> SALUR LATUN</v>
          </cell>
        </row>
        <row r="58">
          <cell r="A58">
            <v>1101021009</v>
          </cell>
          <cell r="B58" t="str">
            <v xml:space="preserve"> SALUR LASENGALU</v>
          </cell>
        </row>
        <row r="59">
          <cell r="A59">
            <v>1101021010</v>
          </cell>
          <cell r="B59" t="str">
            <v xml:space="preserve"> NANCALA</v>
          </cell>
        </row>
        <row r="60">
          <cell r="A60">
            <v>1101021011</v>
          </cell>
          <cell r="B60" t="str">
            <v xml:space="preserve"> MAUDIL</v>
          </cell>
        </row>
        <row r="61">
          <cell r="A61">
            <v>1101021012</v>
          </cell>
          <cell r="B61" t="str">
            <v xml:space="preserve"> INOR</v>
          </cell>
        </row>
        <row r="62">
          <cell r="A62">
            <v>1101021013</v>
          </cell>
          <cell r="B62" t="str">
            <v xml:space="preserve"> NAIBOS</v>
          </cell>
        </row>
        <row r="63">
          <cell r="A63">
            <v>1101021014</v>
          </cell>
          <cell r="B63" t="str">
            <v xml:space="preserve"> LAAYON</v>
          </cell>
        </row>
        <row r="64">
          <cell r="A64">
            <v>1101021015</v>
          </cell>
          <cell r="B64" t="str">
            <v xml:space="preserve"> ANGKEO</v>
          </cell>
        </row>
        <row r="65">
          <cell r="A65">
            <v>1101021016</v>
          </cell>
          <cell r="B65" t="str">
            <v xml:space="preserve"> BUNON</v>
          </cell>
        </row>
        <row r="66">
          <cell r="A66">
            <v>1101021017</v>
          </cell>
          <cell r="B66" t="str">
            <v xml:space="preserve"> SILENGAS</v>
          </cell>
        </row>
        <row r="67">
          <cell r="A67">
            <v>1101021018</v>
          </cell>
          <cell r="B67" t="str">
            <v xml:space="preserve"> PULAU TEUPAH</v>
          </cell>
        </row>
        <row r="68">
          <cell r="A68">
            <v>1101030001</v>
          </cell>
          <cell r="B68" t="str">
            <v xml:space="preserve"> DIHIT</v>
          </cell>
        </row>
        <row r="69">
          <cell r="A69">
            <v>1101030002</v>
          </cell>
          <cell r="B69" t="str">
            <v xml:space="preserve"> LAUKE</v>
          </cell>
        </row>
        <row r="70">
          <cell r="A70">
            <v>1101030003</v>
          </cell>
          <cell r="B70" t="str">
            <v xml:space="preserve"> LAMBAYA</v>
          </cell>
        </row>
        <row r="71">
          <cell r="A71">
            <v>1101030004</v>
          </cell>
          <cell r="B71" t="str">
            <v xml:space="preserve"> LAKUBANG</v>
          </cell>
        </row>
        <row r="72">
          <cell r="A72">
            <v>1101030005</v>
          </cell>
          <cell r="B72" t="str">
            <v xml:space="preserve"> KAMPUNG AIE</v>
          </cell>
        </row>
        <row r="73">
          <cell r="A73">
            <v>1101030006</v>
          </cell>
          <cell r="B73" t="str">
            <v xml:space="preserve"> LAUREE</v>
          </cell>
        </row>
        <row r="74">
          <cell r="A74">
            <v>1101030007</v>
          </cell>
          <cell r="B74" t="str">
            <v xml:space="preserve"> LATITIK</v>
          </cell>
        </row>
        <row r="75">
          <cell r="A75">
            <v>1101030008</v>
          </cell>
          <cell r="B75" t="str">
            <v xml:space="preserve"> LAMAYANG</v>
          </cell>
        </row>
        <row r="76">
          <cell r="A76">
            <v>1101030009</v>
          </cell>
          <cell r="B76" t="str">
            <v xml:space="preserve"> WEL WEL</v>
          </cell>
        </row>
        <row r="77">
          <cell r="A77">
            <v>1101030010</v>
          </cell>
          <cell r="B77" t="str">
            <v xml:space="preserve"> BUBUHAN</v>
          </cell>
        </row>
        <row r="78">
          <cell r="A78">
            <v>1101030011</v>
          </cell>
          <cell r="B78" t="str">
            <v xml:space="preserve"> AMARABU</v>
          </cell>
        </row>
        <row r="79">
          <cell r="A79">
            <v>1101030012</v>
          </cell>
          <cell r="B79" t="str">
            <v xml:space="preserve"> KUTA INANG</v>
          </cell>
        </row>
        <row r="80">
          <cell r="A80">
            <v>1101030013</v>
          </cell>
          <cell r="B80" t="str">
            <v xml:space="preserve"> KUTA PADANG</v>
          </cell>
        </row>
        <row r="81">
          <cell r="A81">
            <v>1101030014</v>
          </cell>
          <cell r="B81" t="str">
            <v xml:space="preserve"> LATAK AYAH</v>
          </cell>
        </row>
        <row r="82">
          <cell r="A82">
            <v>1101030015</v>
          </cell>
          <cell r="B82" t="str">
            <v xml:space="preserve"> SIBULUH</v>
          </cell>
        </row>
        <row r="83">
          <cell r="A83">
            <v>1101030016</v>
          </cell>
          <cell r="B83" t="str">
            <v xml:space="preserve"> BORENGAN</v>
          </cell>
        </row>
        <row r="84">
          <cell r="A84">
            <v>1101030017</v>
          </cell>
          <cell r="B84" t="str">
            <v xml:space="preserve"> UJUNG PADANG</v>
          </cell>
        </row>
        <row r="85">
          <cell r="A85">
            <v>1101030020</v>
          </cell>
          <cell r="B85" t="str">
            <v xml:space="preserve"> SITUFA JAYA</v>
          </cell>
        </row>
        <row r="86">
          <cell r="A86">
            <v>1101030021</v>
          </cell>
          <cell r="B86" t="str">
            <v xml:space="preserve"> PUTRA JAYA</v>
          </cell>
        </row>
        <row r="87">
          <cell r="A87">
            <v>1101030022</v>
          </cell>
          <cell r="B87" t="str">
            <v xml:space="preserve"> LUAN SORIP</v>
          </cell>
        </row>
        <row r="88">
          <cell r="A88">
            <v>1101030023</v>
          </cell>
          <cell r="B88" t="str">
            <v xml:space="preserve"> SUAK BARU</v>
          </cell>
        </row>
        <row r="89">
          <cell r="A89">
            <v>1101030024</v>
          </cell>
          <cell r="B89" t="str">
            <v xml:space="preserve"> SEBBE</v>
          </cell>
        </row>
        <row r="90">
          <cell r="A90">
            <v>1101030025</v>
          </cell>
          <cell r="B90" t="str">
            <v xml:space="preserve"> KUTA BATU</v>
          </cell>
        </row>
        <row r="91">
          <cell r="A91">
            <v>1101030026</v>
          </cell>
          <cell r="B91" t="str">
            <v xml:space="preserve"> WEL LANGKOM</v>
          </cell>
        </row>
        <row r="92">
          <cell r="A92">
            <v>1101031001</v>
          </cell>
          <cell r="B92" t="str">
            <v xml:space="preserve"> KUALA BAKTI</v>
          </cell>
        </row>
        <row r="93">
          <cell r="A93">
            <v>1101031002</v>
          </cell>
          <cell r="B93" t="str">
            <v xml:space="preserve"> LUGU SEBAHAK</v>
          </cell>
        </row>
        <row r="94">
          <cell r="A94">
            <v>1101031003</v>
          </cell>
          <cell r="B94" t="str">
            <v xml:space="preserve"> GUNUNG PUTIH</v>
          </cell>
        </row>
        <row r="95">
          <cell r="A95">
            <v>1101031004</v>
          </cell>
          <cell r="B95" t="str">
            <v xml:space="preserve"> BABUSSALAM</v>
          </cell>
        </row>
        <row r="96">
          <cell r="A96">
            <v>1101031005</v>
          </cell>
          <cell r="B96" t="str">
            <v xml:space="preserve"> MUARA AMAN</v>
          </cell>
        </row>
        <row r="97">
          <cell r="A97">
            <v>1101031006</v>
          </cell>
          <cell r="B97" t="str">
            <v xml:space="preserve"> LUAN BALU</v>
          </cell>
        </row>
        <row r="98">
          <cell r="A98">
            <v>1101031007</v>
          </cell>
          <cell r="B98" t="str">
            <v xml:space="preserve"> SAMBAI</v>
          </cell>
        </row>
        <row r="99">
          <cell r="A99">
            <v>1101031008</v>
          </cell>
          <cell r="B99" t="str">
            <v xml:space="preserve"> KUALA BARU</v>
          </cell>
        </row>
        <row r="100">
          <cell r="A100">
            <v>1101031009</v>
          </cell>
          <cell r="B100" t="str">
            <v xml:space="preserve"> TANJUNG RAYA</v>
          </cell>
        </row>
        <row r="101">
          <cell r="A101">
            <v>1101031010</v>
          </cell>
          <cell r="B101" t="str">
            <v xml:space="preserve"> BULU HADIK</v>
          </cell>
        </row>
        <row r="102">
          <cell r="A102">
            <v>1101040001</v>
          </cell>
          <cell r="B102" t="str">
            <v xml:space="preserve"> UJUNG SALANG</v>
          </cell>
        </row>
        <row r="103">
          <cell r="A103">
            <v>1101040002</v>
          </cell>
          <cell r="B103" t="str">
            <v xml:space="preserve"> PADANG UNOI</v>
          </cell>
        </row>
        <row r="104">
          <cell r="A104">
            <v>1101040003</v>
          </cell>
          <cell r="B104" t="str">
            <v xml:space="preserve"> MEUNAFA</v>
          </cell>
        </row>
        <row r="105">
          <cell r="A105">
            <v>1101040004</v>
          </cell>
          <cell r="B105" t="str">
            <v xml:space="preserve"> NASREUHE</v>
          </cell>
        </row>
        <row r="106">
          <cell r="A106">
            <v>1101040005</v>
          </cell>
          <cell r="B106" t="str">
            <v xml:space="preserve"> ALONG</v>
          </cell>
        </row>
        <row r="107">
          <cell r="A107">
            <v>1101040006</v>
          </cell>
          <cell r="B107" t="str">
            <v xml:space="preserve"> PANTON LAWE</v>
          </cell>
        </row>
        <row r="108">
          <cell r="A108">
            <v>1101040007</v>
          </cell>
          <cell r="B108" t="str">
            <v xml:space="preserve"> MUTIARA</v>
          </cell>
        </row>
        <row r="109">
          <cell r="A109">
            <v>1101040008</v>
          </cell>
          <cell r="B109" t="str">
            <v xml:space="preserve"> KARYA BAKTI</v>
          </cell>
        </row>
        <row r="110">
          <cell r="A110">
            <v>1101040009</v>
          </cell>
          <cell r="B110" t="str">
            <v xml:space="preserve"> TAMON</v>
          </cell>
        </row>
        <row r="111">
          <cell r="A111">
            <v>1101040010</v>
          </cell>
          <cell r="B111" t="str">
            <v xml:space="preserve"> JAYA BARU</v>
          </cell>
        </row>
        <row r="112">
          <cell r="A112">
            <v>1101040011</v>
          </cell>
          <cell r="B112" t="str">
            <v xml:space="preserve"> TAMENG</v>
          </cell>
        </row>
        <row r="113">
          <cell r="A113">
            <v>1101040012</v>
          </cell>
          <cell r="B113" t="str">
            <v xml:space="preserve"> LALLA</v>
          </cell>
        </row>
      </sheetData>
      <sheetData sheetId="8" refreshError="1"/>
      <sheetData sheetId="9" refreshError="1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aizkurosaki@gmail.com" TargetMode="External"/><Relationship Id="rId1" Type="http://schemas.openxmlformats.org/officeDocument/2006/relationships/hyperlink" Target="mailto:dearberliana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D17" sqref="D17"/>
    </sheetView>
  </sheetViews>
  <sheetFormatPr defaultRowHeight="15" x14ac:dyDescent="0.25"/>
  <cols>
    <col min="1" max="1" width="12.5703125" bestFit="1" customWidth="1"/>
    <col min="2" max="2" width="1.5703125" bestFit="1" customWidth="1"/>
    <col min="3" max="3" width="56" bestFit="1" customWidth="1"/>
  </cols>
  <sheetData>
    <row r="1" spans="1:7" x14ac:dyDescent="0.25">
      <c r="A1" s="12" t="s">
        <v>272</v>
      </c>
      <c r="B1" s="12" t="s">
        <v>273</v>
      </c>
      <c r="C1" s="12" t="s">
        <v>274</v>
      </c>
      <c r="D1" s="12"/>
      <c r="E1" s="12"/>
      <c r="F1" s="12"/>
      <c r="G1" s="12"/>
    </row>
    <row r="2" spans="1:7" x14ac:dyDescent="0.25">
      <c r="A2" s="12" t="s">
        <v>275</v>
      </c>
      <c r="B2" s="12" t="s">
        <v>273</v>
      </c>
      <c r="C2" t="s">
        <v>276</v>
      </c>
    </row>
    <row r="4" spans="1:7" x14ac:dyDescent="0.25">
      <c r="A4" t="s">
        <v>277</v>
      </c>
      <c r="B4" s="12" t="s">
        <v>273</v>
      </c>
      <c r="C4" t="s">
        <v>305</v>
      </c>
    </row>
    <row r="5" spans="1:7" x14ac:dyDescent="0.25">
      <c r="A5" t="s">
        <v>278</v>
      </c>
      <c r="B5" s="12" t="s">
        <v>273</v>
      </c>
      <c r="C5" t="s">
        <v>306</v>
      </c>
    </row>
    <row r="6" spans="1:7" x14ac:dyDescent="0.25">
      <c r="A6" t="s">
        <v>279</v>
      </c>
      <c r="B6" s="13" t="s">
        <v>273</v>
      </c>
      <c r="C6" s="14">
        <v>185080600111047</v>
      </c>
    </row>
    <row r="7" spans="1:7" x14ac:dyDescent="0.25">
      <c r="A7" t="s">
        <v>280</v>
      </c>
      <c r="B7" t="s">
        <v>273</v>
      </c>
      <c r="C7" t="s">
        <v>307</v>
      </c>
    </row>
    <row r="8" spans="1:7" x14ac:dyDescent="0.25">
      <c r="A8" t="s">
        <v>281</v>
      </c>
      <c r="B8" s="15" t="s">
        <v>273</v>
      </c>
      <c r="C8" s="22" t="s">
        <v>308</v>
      </c>
    </row>
    <row r="10" spans="1:7" x14ac:dyDescent="0.25">
      <c r="A10" s="12" t="s">
        <v>282</v>
      </c>
      <c r="B10" s="12" t="s">
        <v>273</v>
      </c>
      <c r="C10" s="20" t="s">
        <v>313</v>
      </c>
      <c r="D10" s="20"/>
    </row>
    <row r="11" spans="1:7" x14ac:dyDescent="0.25">
      <c r="A11" t="s">
        <v>283</v>
      </c>
      <c r="B11" t="s">
        <v>273</v>
      </c>
      <c r="C11" t="s">
        <v>314</v>
      </c>
    </row>
    <row r="12" spans="1:7" x14ac:dyDescent="0.25">
      <c r="A12" t="s">
        <v>281</v>
      </c>
      <c r="B12" t="s">
        <v>273</v>
      </c>
      <c r="C12" s="21" t="s">
        <v>315</v>
      </c>
    </row>
    <row r="13" spans="1:7" x14ac:dyDescent="0.25">
      <c r="A13" t="s">
        <v>284</v>
      </c>
      <c r="B13" s="11" t="s">
        <v>273</v>
      </c>
      <c r="C13" s="16">
        <v>2</v>
      </c>
    </row>
  </sheetData>
  <hyperlinks>
    <hyperlink ref="C8" r:id="rId1"/>
    <hyperlink ref="C1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F7" sqref="F7"/>
    </sheetView>
  </sheetViews>
  <sheetFormatPr defaultRowHeight="15" x14ac:dyDescent="0.25"/>
  <cols>
    <col min="2" max="2" width="18.7109375" bestFit="1" customWidth="1"/>
    <col min="3" max="3" width="38.7109375" bestFit="1" customWidth="1"/>
    <col min="4" max="4" width="27.42578125" bestFit="1" customWidth="1"/>
  </cols>
  <sheetData>
    <row r="1" spans="1:4" x14ac:dyDescent="0.25">
      <c r="A1" t="s">
        <v>264</v>
      </c>
      <c r="B1" t="s">
        <v>265</v>
      </c>
      <c r="C1" t="s">
        <v>266</v>
      </c>
      <c r="D1" t="s">
        <v>267</v>
      </c>
    </row>
    <row r="2" spans="1:4" x14ac:dyDescent="0.25">
      <c r="A2">
        <v>1</v>
      </c>
      <c r="B2" t="s">
        <v>124</v>
      </c>
      <c r="C2" t="s">
        <v>289</v>
      </c>
      <c r="D2" t="s">
        <v>268</v>
      </c>
    </row>
    <row r="3" spans="1:4" x14ac:dyDescent="0.25">
      <c r="A3">
        <v>2</v>
      </c>
      <c r="B3" t="s">
        <v>125</v>
      </c>
      <c r="C3" t="s">
        <v>290</v>
      </c>
      <c r="D3" t="s">
        <v>269</v>
      </c>
    </row>
    <row r="4" spans="1:4" x14ac:dyDescent="0.25">
      <c r="A4">
        <v>3</v>
      </c>
      <c r="B4" t="s">
        <v>126</v>
      </c>
      <c r="C4" t="s">
        <v>291</v>
      </c>
      <c r="D4" t="s">
        <v>270</v>
      </c>
    </row>
    <row r="5" spans="1:4" x14ac:dyDescent="0.25">
      <c r="A5">
        <v>4</v>
      </c>
      <c r="B5" t="s">
        <v>127</v>
      </c>
      <c r="C5" t="s">
        <v>292</v>
      </c>
      <c r="D5" t="s">
        <v>271</v>
      </c>
    </row>
    <row r="6" spans="1:4" x14ac:dyDescent="0.25">
      <c r="A6">
        <v>5</v>
      </c>
      <c r="B6" t="s">
        <v>129</v>
      </c>
      <c r="C6" t="s">
        <v>289</v>
      </c>
      <c r="D6" t="s">
        <v>285</v>
      </c>
    </row>
    <row r="7" spans="1:4" x14ac:dyDescent="0.25">
      <c r="A7">
        <v>6</v>
      </c>
      <c r="B7" t="s">
        <v>130</v>
      </c>
      <c r="C7" t="s">
        <v>290</v>
      </c>
      <c r="D7" t="s">
        <v>286</v>
      </c>
    </row>
    <row r="8" spans="1:4" x14ac:dyDescent="0.25">
      <c r="A8">
        <v>7</v>
      </c>
      <c r="B8" t="s">
        <v>131</v>
      </c>
      <c r="C8" t="s">
        <v>291</v>
      </c>
      <c r="D8" t="s">
        <v>287</v>
      </c>
    </row>
    <row r="9" spans="1:4" x14ac:dyDescent="0.25">
      <c r="A9">
        <v>8</v>
      </c>
      <c r="B9" t="s">
        <v>132</v>
      </c>
      <c r="C9" t="s">
        <v>292</v>
      </c>
      <c r="D9" t="s">
        <v>288</v>
      </c>
    </row>
    <row r="10" spans="1:4" x14ac:dyDescent="0.25">
      <c r="A10">
        <v>9</v>
      </c>
      <c r="B10" t="s">
        <v>128</v>
      </c>
      <c r="C10" t="s">
        <v>293</v>
      </c>
      <c r="D10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zoomScale="80" zoomScaleNormal="80" workbookViewId="0">
      <selection activeCell="G2" sqref="G2"/>
    </sheetView>
  </sheetViews>
  <sheetFormatPr defaultRowHeight="15.95" customHeight="1" x14ac:dyDescent="0.25"/>
  <cols>
    <col min="1" max="1" width="9.140625" bestFit="1" customWidth="1"/>
    <col min="2" max="2" width="18.28515625" bestFit="1" customWidth="1"/>
    <col min="3" max="3" width="21.42578125" bestFit="1" customWidth="1"/>
    <col min="4" max="4" width="21.7109375" bestFit="1" customWidth="1"/>
    <col min="5" max="5" width="11" bestFit="1" customWidth="1"/>
    <col min="9" max="9" width="12" bestFit="1" customWidth="1"/>
    <col min="10" max="10" width="10.5703125" bestFit="1" customWidth="1"/>
    <col min="11" max="11" width="13.140625" customWidth="1"/>
    <col min="12" max="12" width="19.28515625" bestFit="1" customWidth="1"/>
    <col min="13" max="13" width="18.85546875" bestFit="1" customWidth="1"/>
    <col min="14" max="14" width="21" bestFit="1" customWidth="1"/>
  </cols>
  <sheetData>
    <row r="1" spans="1:14" ht="15.95" customHeight="1" x14ac:dyDescent="0.25">
      <c r="A1" s="6"/>
      <c r="B1" s="6" t="s">
        <v>0</v>
      </c>
      <c r="C1" s="6" t="s">
        <v>1</v>
      </c>
      <c r="D1" s="6" t="s">
        <v>2</v>
      </c>
      <c r="E1" s="7" t="s">
        <v>3</v>
      </c>
      <c r="F1" s="6" t="s">
        <v>124</v>
      </c>
      <c r="G1" s="6" t="s">
        <v>125</v>
      </c>
      <c r="H1" s="6" t="s">
        <v>126</v>
      </c>
      <c r="I1" s="6" t="s">
        <v>127</v>
      </c>
      <c r="J1" s="6" t="s">
        <v>129</v>
      </c>
      <c r="K1" s="6" t="s">
        <v>130</v>
      </c>
      <c r="L1" s="6" t="s">
        <v>131</v>
      </c>
      <c r="M1" s="6" t="s">
        <v>132</v>
      </c>
      <c r="N1" s="6" t="s">
        <v>128</v>
      </c>
    </row>
    <row r="2" spans="1:14" ht="15.95" customHeight="1" x14ac:dyDescent="0.25">
      <c r="A2" s="1" t="s">
        <v>4</v>
      </c>
      <c r="B2" s="1" t="s">
        <v>5</v>
      </c>
      <c r="C2" s="1" t="s">
        <v>6</v>
      </c>
      <c r="D2" s="1" t="s">
        <v>7</v>
      </c>
      <c r="E2" s="2">
        <v>270</v>
      </c>
      <c r="F2" s="8" t="str">
        <f>MID(A2,2,2)</f>
        <v>11</v>
      </c>
      <c r="G2" s="8" t="str">
        <f>CONCATENATE(F2,MID(B2,2,2))</f>
        <v>1101</v>
      </c>
      <c r="H2" s="8" t="str">
        <f>CONCATENATE(G2,MID(C2,2,3))</f>
        <v>1101010</v>
      </c>
      <c r="I2" s="8" t="str">
        <f>CONCATENATE(H2,MID(D2,2,3))</f>
        <v>1101010001</v>
      </c>
      <c r="J2" s="8" t="str">
        <f>MID(A2,6,50)</f>
        <v>ACEH</v>
      </c>
      <c r="K2" s="8" t="str">
        <f>MID(B2,6,50)</f>
        <v>SIMEULUE</v>
      </c>
      <c r="L2" s="8" t="str">
        <f>MID(C2,7,50)</f>
        <v>TEUPAH SELATAN</v>
      </c>
      <c r="M2" s="8" t="str">
        <f>MID(D2,7,50)</f>
        <v>LATIUNG</v>
      </c>
      <c r="N2" s="8">
        <f>E2</f>
        <v>270</v>
      </c>
    </row>
    <row r="3" spans="1:14" ht="15.95" customHeight="1" x14ac:dyDescent="0.25">
      <c r="A3" s="1" t="s">
        <v>4</v>
      </c>
      <c r="B3" s="1" t="s">
        <v>5</v>
      </c>
      <c r="C3" s="1" t="s">
        <v>6</v>
      </c>
      <c r="D3" s="1" t="s">
        <v>8</v>
      </c>
      <c r="E3" s="2">
        <v>398</v>
      </c>
      <c r="F3" s="8" t="str">
        <f t="shared" ref="F3:F66" si="0">MID(A3,2,2)</f>
        <v>11</v>
      </c>
      <c r="G3" s="8" t="str">
        <f t="shared" ref="G3:G66" si="1">CONCATENATE(F3,MID(B3,2,2))</f>
        <v>1101</v>
      </c>
      <c r="H3" s="8" t="str">
        <f t="shared" ref="H3:H66" si="2">CONCATENATE(G3,MID(C3,2,3))</f>
        <v>1101010</v>
      </c>
      <c r="I3" s="8" t="str">
        <f t="shared" ref="I3:I66" si="3">CONCATENATE(H3,MID(D3,2,3))</f>
        <v>1101010002</v>
      </c>
      <c r="J3" s="8" t="str">
        <f t="shared" ref="J3:J66" si="4">MID(A3,6,50)</f>
        <v>ACEH</v>
      </c>
      <c r="K3" s="8" t="str">
        <f t="shared" ref="K3:K66" si="5">MID(B3,6,50)</f>
        <v>SIMEULUE</v>
      </c>
      <c r="L3" s="8" t="str">
        <f t="shared" ref="L3:L66" si="6">MID(C3,7,50)</f>
        <v>TEUPAH SELATAN</v>
      </c>
      <c r="M3" s="8" t="str">
        <f t="shared" ref="M3:M66" si="7">MID(D3,7,50)</f>
        <v>LABUHAN BAJAU</v>
      </c>
      <c r="N3" s="8">
        <f t="shared" ref="N3:N66" si="8">E3</f>
        <v>398</v>
      </c>
    </row>
    <row r="4" spans="1:14" ht="15.95" customHeight="1" x14ac:dyDescent="0.25">
      <c r="A4" s="1" t="s">
        <v>4</v>
      </c>
      <c r="B4" s="1" t="s">
        <v>5</v>
      </c>
      <c r="C4" s="1" t="s">
        <v>6</v>
      </c>
      <c r="D4" s="1" t="s">
        <v>9</v>
      </c>
      <c r="E4" s="2">
        <v>465</v>
      </c>
      <c r="F4" s="8" t="str">
        <f t="shared" si="0"/>
        <v>11</v>
      </c>
      <c r="G4" s="8" t="str">
        <f t="shared" si="1"/>
        <v>1101</v>
      </c>
      <c r="H4" s="8" t="str">
        <f t="shared" si="2"/>
        <v>1101010</v>
      </c>
      <c r="I4" s="8" t="str">
        <f t="shared" si="3"/>
        <v>1101010003</v>
      </c>
      <c r="J4" s="8" t="str">
        <f t="shared" si="4"/>
        <v>ACEH</v>
      </c>
      <c r="K4" s="8" t="str">
        <f t="shared" si="5"/>
        <v>SIMEULUE</v>
      </c>
      <c r="L4" s="8" t="str">
        <f t="shared" si="6"/>
        <v>TEUPAH SELATAN</v>
      </c>
      <c r="M4" s="8" t="str">
        <f t="shared" si="7"/>
        <v>SUAK LAMATAN</v>
      </c>
      <c r="N4" s="8">
        <f t="shared" si="8"/>
        <v>465</v>
      </c>
    </row>
    <row r="5" spans="1:14" ht="15.95" customHeight="1" x14ac:dyDescent="0.25">
      <c r="A5" s="1" t="s">
        <v>4</v>
      </c>
      <c r="B5" s="1" t="s">
        <v>5</v>
      </c>
      <c r="C5" s="1" t="s">
        <v>6</v>
      </c>
      <c r="D5" s="1" t="s">
        <v>10</v>
      </c>
      <c r="E5" s="2">
        <v>515</v>
      </c>
      <c r="F5" s="8" t="str">
        <f t="shared" si="0"/>
        <v>11</v>
      </c>
      <c r="G5" s="8" t="str">
        <f t="shared" si="1"/>
        <v>1101</v>
      </c>
      <c r="H5" s="8" t="str">
        <f t="shared" si="2"/>
        <v>1101010</v>
      </c>
      <c r="I5" s="8" t="str">
        <f t="shared" si="3"/>
        <v>1101010004</v>
      </c>
      <c r="J5" s="8" t="str">
        <f t="shared" si="4"/>
        <v>ACEH</v>
      </c>
      <c r="K5" s="8" t="str">
        <f t="shared" si="5"/>
        <v>SIMEULUE</v>
      </c>
      <c r="L5" s="8" t="str">
        <f t="shared" si="6"/>
        <v>TEUPAH SELATAN</v>
      </c>
      <c r="M5" s="8" t="str">
        <f t="shared" si="7"/>
        <v>ANA AO</v>
      </c>
      <c r="N5" s="8">
        <f t="shared" si="8"/>
        <v>515</v>
      </c>
    </row>
    <row r="6" spans="1:14" ht="15.95" customHeight="1" x14ac:dyDescent="0.25">
      <c r="A6" s="1" t="s">
        <v>4</v>
      </c>
      <c r="B6" s="1" t="s">
        <v>5</v>
      </c>
      <c r="C6" s="1" t="s">
        <v>6</v>
      </c>
      <c r="D6" s="1" t="s">
        <v>11</v>
      </c>
      <c r="E6" s="2">
        <v>340</v>
      </c>
      <c r="F6" s="8" t="str">
        <f t="shared" si="0"/>
        <v>11</v>
      </c>
      <c r="G6" s="8" t="str">
        <f t="shared" si="1"/>
        <v>1101</v>
      </c>
      <c r="H6" s="8" t="str">
        <f t="shared" si="2"/>
        <v>1101010</v>
      </c>
      <c r="I6" s="8" t="str">
        <f t="shared" si="3"/>
        <v>1101010005</v>
      </c>
      <c r="J6" s="8" t="str">
        <f t="shared" si="4"/>
        <v>ACEH</v>
      </c>
      <c r="K6" s="8" t="str">
        <f t="shared" si="5"/>
        <v>SIMEULUE</v>
      </c>
      <c r="L6" s="8" t="str">
        <f t="shared" si="6"/>
        <v>TEUPAH SELATAN</v>
      </c>
      <c r="M6" s="8" t="str">
        <f t="shared" si="7"/>
        <v>LATALING</v>
      </c>
      <c r="N6" s="8">
        <f t="shared" si="8"/>
        <v>340</v>
      </c>
    </row>
    <row r="7" spans="1:14" ht="15.95" customHeight="1" x14ac:dyDescent="0.25">
      <c r="A7" s="1" t="s">
        <v>4</v>
      </c>
      <c r="B7" s="1" t="s">
        <v>5</v>
      </c>
      <c r="C7" s="1" t="s">
        <v>6</v>
      </c>
      <c r="D7" s="1" t="s">
        <v>12</v>
      </c>
      <c r="E7" s="2">
        <v>378</v>
      </c>
      <c r="F7" s="8" t="str">
        <f t="shared" si="0"/>
        <v>11</v>
      </c>
      <c r="G7" s="8" t="str">
        <f t="shared" si="1"/>
        <v>1101</v>
      </c>
      <c r="H7" s="8" t="str">
        <f t="shared" si="2"/>
        <v>1101010</v>
      </c>
      <c r="I7" s="8" t="str">
        <f t="shared" si="3"/>
        <v>1101010006</v>
      </c>
      <c r="J7" s="8" t="str">
        <f t="shared" si="4"/>
        <v>ACEH</v>
      </c>
      <c r="K7" s="8" t="str">
        <f t="shared" si="5"/>
        <v>SIMEULUE</v>
      </c>
      <c r="L7" s="8" t="str">
        <f t="shared" si="6"/>
        <v>TEUPAH SELATAN</v>
      </c>
      <c r="M7" s="8" t="str">
        <f t="shared" si="7"/>
        <v>PULAU BENGKALAK</v>
      </c>
      <c r="N7" s="8">
        <f t="shared" si="8"/>
        <v>378</v>
      </c>
    </row>
    <row r="8" spans="1:14" ht="15.95" customHeight="1" x14ac:dyDescent="0.25">
      <c r="A8" s="1" t="s">
        <v>4</v>
      </c>
      <c r="B8" s="1" t="s">
        <v>5</v>
      </c>
      <c r="C8" s="1" t="s">
        <v>6</v>
      </c>
      <c r="D8" s="1" t="s">
        <v>13</v>
      </c>
      <c r="E8" s="2">
        <v>289</v>
      </c>
      <c r="F8" s="8" t="str">
        <f t="shared" si="0"/>
        <v>11</v>
      </c>
      <c r="G8" s="8" t="str">
        <f t="shared" si="1"/>
        <v>1101</v>
      </c>
      <c r="H8" s="8" t="str">
        <f t="shared" si="2"/>
        <v>1101010</v>
      </c>
      <c r="I8" s="8" t="str">
        <f t="shared" si="3"/>
        <v>1101010007</v>
      </c>
      <c r="J8" s="8" t="str">
        <f t="shared" si="4"/>
        <v>ACEH</v>
      </c>
      <c r="K8" s="8" t="str">
        <f t="shared" si="5"/>
        <v>SIMEULUE</v>
      </c>
      <c r="L8" s="8" t="str">
        <f t="shared" si="6"/>
        <v>TEUPAH SELATAN</v>
      </c>
      <c r="M8" s="8" t="str">
        <f t="shared" si="7"/>
        <v>BADEGONG</v>
      </c>
      <c r="N8" s="8">
        <f t="shared" si="8"/>
        <v>289</v>
      </c>
    </row>
    <row r="9" spans="1:14" ht="15.95" customHeight="1" x14ac:dyDescent="0.25">
      <c r="A9" s="1" t="s">
        <v>4</v>
      </c>
      <c r="B9" s="1" t="s">
        <v>5</v>
      </c>
      <c r="C9" s="1" t="s">
        <v>6</v>
      </c>
      <c r="D9" s="1" t="s">
        <v>14</v>
      </c>
      <c r="E9" s="2">
        <v>398</v>
      </c>
      <c r="F9" s="8" t="str">
        <f t="shared" si="0"/>
        <v>11</v>
      </c>
      <c r="G9" s="8" t="str">
        <f t="shared" si="1"/>
        <v>1101</v>
      </c>
      <c r="H9" s="8" t="str">
        <f t="shared" si="2"/>
        <v>1101010</v>
      </c>
      <c r="I9" s="8" t="str">
        <f t="shared" si="3"/>
        <v>1101010008</v>
      </c>
      <c r="J9" s="8" t="str">
        <f t="shared" si="4"/>
        <v>ACEH</v>
      </c>
      <c r="K9" s="8" t="str">
        <f t="shared" si="5"/>
        <v>SIMEULUE</v>
      </c>
      <c r="L9" s="8" t="str">
        <f t="shared" si="6"/>
        <v>TEUPAH SELATAN</v>
      </c>
      <c r="M9" s="8" t="str">
        <f t="shared" si="7"/>
        <v>KEBUN BARU</v>
      </c>
      <c r="N9" s="8">
        <f t="shared" si="8"/>
        <v>398</v>
      </c>
    </row>
    <row r="10" spans="1:14" ht="15.95" customHeight="1" x14ac:dyDescent="0.25">
      <c r="A10" s="1" t="s">
        <v>4</v>
      </c>
      <c r="B10" s="1" t="s">
        <v>5</v>
      </c>
      <c r="C10" s="1" t="s">
        <v>6</v>
      </c>
      <c r="D10" s="1" t="s">
        <v>15</v>
      </c>
      <c r="E10" s="2">
        <v>310</v>
      </c>
      <c r="F10" s="8" t="str">
        <f t="shared" si="0"/>
        <v>11</v>
      </c>
      <c r="G10" s="8" t="str">
        <f t="shared" si="1"/>
        <v>1101</v>
      </c>
      <c r="H10" s="8" t="str">
        <f t="shared" si="2"/>
        <v>1101010</v>
      </c>
      <c r="I10" s="8" t="str">
        <f t="shared" si="3"/>
        <v>1101010009</v>
      </c>
      <c r="J10" s="8" t="str">
        <f t="shared" si="4"/>
        <v>ACEH</v>
      </c>
      <c r="K10" s="8" t="str">
        <f t="shared" si="5"/>
        <v>SIMEULUE</v>
      </c>
      <c r="L10" s="8" t="str">
        <f t="shared" si="6"/>
        <v>TEUPAH SELATAN</v>
      </c>
      <c r="M10" s="8" t="str">
        <f t="shared" si="7"/>
        <v>ULUL MANYANG</v>
      </c>
      <c r="N10" s="8">
        <f t="shared" si="8"/>
        <v>310</v>
      </c>
    </row>
    <row r="11" spans="1:14" ht="15.95" customHeight="1" x14ac:dyDescent="0.25">
      <c r="A11" s="1" t="s">
        <v>4</v>
      </c>
      <c r="B11" s="1" t="s">
        <v>5</v>
      </c>
      <c r="C11" s="1" t="s">
        <v>6</v>
      </c>
      <c r="D11" s="1" t="s">
        <v>16</v>
      </c>
      <c r="E11" s="2">
        <v>396</v>
      </c>
      <c r="F11" s="8" t="str">
        <f t="shared" si="0"/>
        <v>11</v>
      </c>
      <c r="G11" s="8" t="str">
        <f t="shared" si="1"/>
        <v>1101</v>
      </c>
      <c r="H11" s="8" t="str">
        <f t="shared" si="2"/>
        <v>1101010</v>
      </c>
      <c r="I11" s="8" t="str">
        <f t="shared" si="3"/>
        <v>1101010010</v>
      </c>
      <c r="J11" s="8" t="str">
        <f t="shared" si="4"/>
        <v>ACEH</v>
      </c>
      <c r="K11" s="8" t="str">
        <f t="shared" si="5"/>
        <v>SIMEULUE</v>
      </c>
      <c r="L11" s="8" t="str">
        <f t="shared" si="6"/>
        <v>TEUPAH SELATAN</v>
      </c>
      <c r="M11" s="8" t="str">
        <f t="shared" si="7"/>
        <v>PASIR TINGGI</v>
      </c>
      <c r="N11" s="8">
        <f t="shared" si="8"/>
        <v>396</v>
      </c>
    </row>
    <row r="12" spans="1:14" ht="15.95" customHeight="1" x14ac:dyDescent="0.25">
      <c r="A12" s="1" t="s">
        <v>4</v>
      </c>
      <c r="B12" s="1" t="s">
        <v>5</v>
      </c>
      <c r="C12" s="1" t="s">
        <v>6</v>
      </c>
      <c r="D12" s="1" t="s">
        <v>17</v>
      </c>
      <c r="E12" s="2">
        <v>568</v>
      </c>
      <c r="F12" s="8" t="str">
        <f t="shared" si="0"/>
        <v>11</v>
      </c>
      <c r="G12" s="8" t="str">
        <f t="shared" si="1"/>
        <v>1101</v>
      </c>
      <c r="H12" s="8" t="str">
        <f t="shared" si="2"/>
        <v>1101010</v>
      </c>
      <c r="I12" s="8" t="str">
        <f t="shared" si="3"/>
        <v>1101010011</v>
      </c>
      <c r="J12" s="8" t="str">
        <f t="shared" si="4"/>
        <v>ACEH</v>
      </c>
      <c r="K12" s="8" t="str">
        <f t="shared" si="5"/>
        <v>SIMEULUE</v>
      </c>
      <c r="L12" s="8" t="str">
        <f t="shared" si="6"/>
        <v>TEUPAH SELATAN</v>
      </c>
      <c r="M12" s="8" t="str">
        <f t="shared" si="7"/>
        <v>LABUHAN JAYA</v>
      </c>
      <c r="N12" s="8">
        <f t="shared" si="8"/>
        <v>568</v>
      </c>
    </row>
    <row r="13" spans="1:14" ht="15.95" customHeight="1" x14ac:dyDescent="0.25">
      <c r="A13" s="1" t="s">
        <v>4</v>
      </c>
      <c r="B13" s="1" t="s">
        <v>5</v>
      </c>
      <c r="C13" s="1" t="s">
        <v>6</v>
      </c>
      <c r="D13" s="1" t="s">
        <v>18</v>
      </c>
      <c r="E13" s="5">
        <v>1127</v>
      </c>
      <c r="F13" s="8" t="str">
        <f t="shared" si="0"/>
        <v>11</v>
      </c>
      <c r="G13" s="8" t="str">
        <f t="shared" si="1"/>
        <v>1101</v>
      </c>
      <c r="H13" s="8" t="str">
        <f t="shared" si="2"/>
        <v>1101010</v>
      </c>
      <c r="I13" s="8" t="str">
        <f t="shared" si="3"/>
        <v>1101010012</v>
      </c>
      <c r="J13" s="8" t="str">
        <f t="shared" si="4"/>
        <v>ACEH</v>
      </c>
      <c r="K13" s="8" t="str">
        <f t="shared" si="5"/>
        <v>SIMEULUE</v>
      </c>
      <c r="L13" s="8" t="str">
        <f t="shared" si="6"/>
        <v>TEUPAH SELATAN</v>
      </c>
      <c r="M13" s="8" t="str">
        <f t="shared" si="7"/>
        <v>LABUHAN BAKTI</v>
      </c>
      <c r="N13" s="8">
        <f t="shared" si="8"/>
        <v>1127</v>
      </c>
    </row>
    <row r="14" spans="1:14" ht="15.95" customHeight="1" x14ac:dyDescent="0.25">
      <c r="A14" s="1" t="s">
        <v>4</v>
      </c>
      <c r="B14" s="1" t="s">
        <v>5</v>
      </c>
      <c r="C14" s="1" t="s">
        <v>6</v>
      </c>
      <c r="D14" s="1" t="s">
        <v>19</v>
      </c>
      <c r="E14" s="2">
        <v>359</v>
      </c>
      <c r="F14" s="8" t="str">
        <f t="shared" si="0"/>
        <v>11</v>
      </c>
      <c r="G14" s="8" t="str">
        <f t="shared" si="1"/>
        <v>1101</v>
      </c>
      <c r="H14" s="8" t="str">
        <f t="shared" si="2"/>
        <v>1101010</v>
      </c>
      <c r="I14" s="8" t="str">
        <f t="shared" si="3"/>
        <v>1101010013</v>
      </c>
      <c r="J14" s="8" t="str">
        <f t="shared" si="4"/>
        <v>ACEH</v>
      </c>
      <c r="K14" s="8" t="str">
        <f t="shared" si="5"/>
        <v>SIMEULUE</v>
      </c>
      <c r="L14" s="8" t="str">
        <f t="shared" si="6"/>
        <v>TEUPAH SELATAN</v>
      </c>
      <c r="M14" s="8" t="str">
        <f t="shared" si="7"/>
        <v>BATU RALANG</v>
      </c>
      <c r="N14" s="8">
        <f t="shared" si="8"/>
        <v>359</v>
      </c>
    </row>
    <row r="15" spans="1:14" ht="15.95" customHeight="1" x14ac:dyDescent="0.25">
      <c r="A15" s="1" t="s">
        <v>4</v>
      </c>
      <c r="B15" s="1" t="s">
        <v>5</v>
      </c>
      <c r="C15" s="1" t="s">
        <v>6</v>
      </c>
      <c r="D15" s="1" t="s">
        <v>20</v>
      </c>
      <c r="E15" s="2">
        <v>627</v>
      </c>
      <c r="F15" s="8" t="str">
        <f t="shared" si="0"/>
        <v>11</v>
      </c>
      <c r="G15" s="8" t="str">
        <f t="shared" si="1"/>
        <v>1101</v>
      </c>
      <c r="H15" s="8" t="str">
        <f t="shared" si="2"/>
        <v>1101010</v>
      </c>
      <c r="I15" s="8" t="str">
        <f t="shared" si="3"/>
        <v>1101010014</v>
      </c>
      <c r="J15" s="8" t="str">
        <f t="shared" si="4"/>
        <v>ACEH</v>
      </c>
      <c r="K15" s="8" t="str">
        <f t="shared" si="5"/>
        <v>SIMEULUE</v>
      </c>
      <c r="L15" s="8" t="str">
        <f t="shared" si="6"/>
        <v>TEUPAH SELATAN</v>
      </c>
      <c r="M15" s="8" t="str">
        <f t="shared" si="7"/>
        <v>ALUS ALUS</v>
      </c>
      <c r="N15" s="8">
        <f t="shared" si="8"/>
        <v>627</v>
      </c>
    </row>
    <row r="16" spans="1:14" ht="15.95" customHeight="1" x14ac:dyDescent="0.25">
      <c r="A16" s="1" t="s">
        <v>4</v>
      </c>
      <c r="B16" s="1" t="s">
        <v>5</v>
      </c>
      <c r="C16" s="1" t="s">
        <v>6</v>
      </c>
      <c r="D16" s="1" t="s">
        <v>21</v>
      </c>
      <c r="E16" s="2">
        <v>490</v>
      </c>
      <c r="F16" s="8" t="str">
        <f t="shared" si="0"/>
        <v>11</v>
      </c>
      <c r="G16" s="8" t="str">
        <f t="shared" si="1"/>
        <v>1101</v>
      </c>
      <c r="H16" s="8" t="str">
        <f t="shared" si="2"/>
        <v>1101010</v>
      </c>
      <c r="I16" s="8" t="str">
        <f t="shared" si="3"/>
        <v>1101010015</v>
      </c>
      <c r="J16" s="8" t="str">
        <f t="shared" si="4"/>
        <v>ACEH</v>
      </c>
      <c r="K16" s="8" t="str">
        <f t="shared" si="5"/>
        <v>SIMEULUE</v>
      </c>
      <c r="L16" s="8" t="str">
        <f t="shared" si="6"/>
        <v>TEUPAH SELATAN</v>
      </c>
      <c r="M16" s="8" t="str">
        <f t="shared" si="7"/>
        <v>SEUNEUBOK</v>
      </c>
      <c r="N16" s="8">
        <f t="shared" si="8"/>
        <v>490</v>
      </c>
    </row>
    <row r="17" spans="1:14" ht="15.95" customHeight="1" x14ac:dyDescent="0.25">
      <c r="A17" s="1" t="s">
        <v>4</v>
      </c>
      <c r="B17" s="1" t="s">
        <v>5</v>
      </c>
      <c r="C17" s="1" t="s">
        <v>6</v>
      </c>
      <c r="D17" s="1" t="s">
        <v>22</v>
      </c>
      <c r="E17" s="2">
        <v>594</v>
      </c>
      <c r="F17" s="8" t="str">
        <f t="shared" si="0"/>
        <v>11</v>
      </c>
      <c r="G17" s="8" t="str">
        <f t="shared" si="1"/>
        <v>1101</v>
      </c>
      <c r="H17" s="8" t="str">
        <f t="shared" si="2"/>
        <v>1101010</v>
      </c>
      <c r="I17" s="8" t="str">
        <f t="shared" si="3"/>
        <v>1101010016</v>
      </c>
      <c r="J17" s="8" t="str">
        <f t="shared" si="4"/>
        <v>ACEH</v>
      </c>
      <c r="K17" s="8" t="str">
        <f t="shared" si="5"/>
        <v>SIMEULUE</v>
      </c>
      <c r="L17" s="8" t="str">
        <f t="shared" si="6"/>
        <v>TEUPAH SELATAN</v>
      </c>
      <c r="M17" s="8" t="str">
        <f t="shared" si="7"/>
        <v>BLANG SEBEL</v>
      </c>
      <c r="N17" s="8">
        <f t="shared" si="8"/>
        <v>594</v>
      </c>
    </row>
    <row r="18" spans="1:14" ht="15.95" customHeight="1" x14ac:dyDescent="0.25">
      <c r="A18" s="1" t="s">
        <v>4</v>
      </c>
      <c r="B18" s="1" t="s">
        <v>5</v>
      </c>
      <c r="C18" s="1" t="s">
        <v>6</v>
      </c>
      <c r="D18" s="1" t="s">
        <v>23</v>
      </c>
      <c r="E18" s="2">
        <v>218</v>
      </c>
      <c r="F18" s="8" t="str">
        <f t="shared" si="0"/>
        <v>11</v>
      </c>
      <c r="G18" s="8" t="str">
        <f t="shared" si="1"/>
        <v>1101</v>
      </c>
      <c r="H18" s="8" t="str">
        <f t="shared" si="2"/>
        <v>1101010</v>
      </c>
      <c r="I18" s="8" t="str">
        <f t="shared" si="3"/>
        <v>1101010017</v>
      </c>
      <c r="J18" s="8" t="str">
        <f t="shared" si="4"/>
        <v>ACEH</v>
      </c>
      <c r="K18" s="8" t="str">
        <f t="shared" si="5"/>
        <v>SIMEULUE</v>
      </c>
      <c r="L18" s="8" t="str">
        <f t="shared" si="6"/>
        <v>TEUPAH SELATAN</v>
      </c>
      <c r="M18" s="8" t="str">
        <f t="shared" si="7"/>
        <v>TRANS BARU</v>
      </c>
      <c r="N18" s="8">
        <f t="shared" si="8"/>
        <v>218</v>
      </c>
    </row>
    <row r="19" spans="1:14" ht="15.95" customHeight="1" x14ac:dyDescent="0.25">
      <c r="A19" s="1" t="s">
        <v>4</v>
      </c>
      <c r="B19" s="1" t="s">
        <v>5</v>
      </c>
      <c r="C19" s="1" t="s">
        <v>6</v>
      </c>
      <c r="D19" s="1" t="s">
        <v>24</v>
      </c>
      <c r="E19" s="2">
        <v>377</v>
      </c>
      <c r="F19" s="8" t="str">
        <f t="shared" si="0"/>
        <v>11</v>
      </c>
      <c r="G19" s="8" t="str">
        <f t="shared" si="1"/>
        <v>1101</v>
      </c>
      <c r="H19" s="8" t="str">
        <f t="shared" si="2"/>
        <v>1101010</v>
      </c>
      <c r="I19" s="8" t="str">
        <f t="shared" si="3"/>
        <v>1101010018</v>
      </c>
      <c r="J19" s="8" t="str">
        <f t="shared" si="4"/>
        <v>ACEH</v>
      </c>
      <c r="K19" s="8" t="str">
        <f t="shared" si="5"/>
        <v>SIMEULUE</v>
      </c>
      <c r="L19" s="8" t="str">
        <f t="shared" si="6"/>
        <v>TEUPAH SELATAN</v>
      </c>
      <c r="M19" s="8" t="str">
        <f t="shared" si="7"/>
        <v>TRANS MERANTI</v>
      </c>
      <c r="N19" s="8">
        <f t="shared" si="8"/>
        <v>377</v>
      </c>
    </row>
    <row r="20" spans="1:14" ht="15.95" customHeight="1" x14ac:dyDescent="0.25">
      <c r="A20" s="1" t="s">
        <v>4</v>
      </c>
      <c r="B20" s="1" t="s">
        <v>5</v>
      </c>
      <c r="C20" s="1" t="s">
        <v>6</v>
      </c>
      <c r="D20" s="1" t="s">
        <v>25</v>
      </c>
      <c r="E20" s="2">
        <v>303</v>
      </c>
      <c r="F20" s="8" t="str">
        <f t="shared" si="0"/>
        <v>11</v>
      </c>
      <c r="G20" s="8" t="str">
        <f t="shared" si="1"/>
        <v>1101</v>
      </c>
      <c r="H20" s="8" t="str">
        <f t="shared" si="2"/>
        <v>1101010</v>
      </c>
      <c r="I20" s="8" t="str">
        <f t="shared" si="3"/>
        <v>1101010019</v>
      </c>
      <c r="J20" s="8" t="str">
        <f t="shared" si="4"/>
        <v>ACEH</v>
      </c>
      <c r="K20" s="8" t="str">
        <f t="shared" si="5"/>
        <v>SIMEULUE</v>
      </c>
      <c r="L20" s="8" t="str">
        <f t="shared" si="6"/>
        <v>TEUPAH SELATAN</v>
      </c>
      <c r="M20" s="8" t="str">
        <f t="shared" si="7"/>
        <v>TRANS JERNGE</v>
      </c>
      <c r="N20" s="8">
        <f t="shared" si="8"/>
        <v>303</v>
      </c>
    </row>
    <row r="21" spans="1:14" ht="15.95" customHeight="1" x14ac:dyDescent="0.25">
      <c r="A21" s="1" t="s">
        <v>4</v>
      </c>
      <c r="B21" s="1" t="s">
        <v>5</v>
      </c>
      <c r="C21" s="3" t="s">
        <v>26</v>
      </c>
      <c r="D21" s="3" t="s">
        <v>27</v>
      </c>
      <c r="E21" s="9">
        <v>499</v>
      </c>
      <c r="F21" s="8" t="str">
        <f t="shared" si="0"/>
        <v>11</v>
      </c>
      <c r="G21" s="8" t="str">
        <f t="shared" si="1"/>
        <v>1101</v>
      </c>
      <c r="H21" s="8" t="str">
        <f t="shared" si="2"/>
        <v>1101020</v>
      </c>
      <c r="I21" s="8" t="str">
        <f t="shared" si="3"/>
        <v>1101020001</v>
      </c>
      <c r="J21" s="8" t="str">
        <f t="shared" si="4"/>
        <v>ACEH</v>
      </c>
      <c r="K21" s="8" t="str">
        <f t="shared" si="5"/>
        <v>SIMEULUE</v>
      </c>
      <c r="L21" s="8" t="str">
        <f t="shared" si="6"/>
        <v>SIMEULUE TIMUR</v>
      </c>
      <c r="M21" s="8" t="str">
        <f t="shared" si="7"/>
        <v>MATANURUNG</v>
      </c>
      <c r="N21" s="8">
        <f t="shared" si="8"/>
        <v>499</v>
      </c>
    </row>
    <row r="22" spans="1:14" ht="15.95" customHeight="1" x14ac:dyDescent="0.25">
      <c r="A22" s="1" t="s">
        <v>4</v>
      </c>
      <c r="B22" s="1" t="s">
        <v>5</v>
      </c>
      <c r="C22" s="3" t="s">
        <v>26</v>
      </c>
      <c r="D22" s="1" t="s">
        <v>28</v>
      </c>
      <c r="E22" s="2">
        <v>899</v>
      </c>
      <c r="F22" s="8" t="str">
        <f t="shared" si="0"/>
        <v>11</v>
      </c>
      <c r="G22" s="8" t="str">
        <f t="shared" si="1"/>
        <v>1101</v>
      </c>
      <c r="H22" s="8" t="str">
        <f t="shared" si="2"/>
        <v>1101020</v>
      </c>
      <c r="I22" s="8" t="str">
        <f t="shared" si="3"/>
        <v>1101020002</v>
      </c>
      <c r="J22" s="8" t="str">
        <f t="shared" si="4"/>
        <v>ACEH</v>
      </c>
      <c r="K22" s="8" t="str">
        <f t="shared" si="5"/>
        <v>SIMEULUE</v>
      </c>
      <c r="L22" s="8" t="str">
        <f t="shared" si="6"/>
        <v>SIMEULUE TIMUR</v>
      </c>
      <c r="M22" s="8" t="str">
        <f t="shared" si="7"/>
        <v>LASIKIN</v>
      </c>
      <c r="N22" s="8">
        <f t="shared" si="8"/>
        <v>899</v>
      </c>
    </row>
    <row r="23" spans="1:14" ht="15.95" customHeight="1" x14ac:dyDescent="0.25">
      <c r="A23" s="1" t="s">
        <v>4</v>
      </c>
      <c r="B23" s="1" t="s">
        <v>5</v>
      </c>
      <c r="C23" s="3" t="s">
        <v>26</v>
      </c>
      <c r="D23" s="1" t="s">
        <v>29</v>
      </c>
      <c r="E23" s="2">
        <v>400</v>
      </c>
      <c r="F23" s="8" t="str">
        <f t="shared" si="0"/>
        <v>11</v>
      </c>
      <c r="G23" s="8" t="str">
        <f t="shared" si="1"/>
        <v>1101</v>
      </c>
      <c r="H23" s="8" t="str">
        <f t="shared" si="2"/>
        <v>1101020</v>
      </c>
      <c r="I23" s="8" t="str">
        <f t="shared" si="3"/>
        <v>1101020003</v>
      </c>
      <c r="J23" s="8" t="str">
        <f t="shared" si="4"/>
        <v>ACEH</v>
      </c>
      <c r="K23" s="8" t="str">
        <f t="shared" si="5"/>
        <v>SIMEULUE</v>
      </c>
      <c r="L23" s="8" t="str">
        <f t="shared" si="6"/>
        <v>SIMEULUE TIMUR</v>
      </c>
      <c r="M23" s="8" t="str">
        <f t="shared" si="7"/>
        <v>LANTING</v>
      </c>
      <c r="N23" s="8">
        <f t="shared" si="8"/>
        <v>400</v>
      </c>
    </row>
    <row r="24" spans="1:14" ht="15.95" customHeight="1" x14ac:dyDescent="0.25">
      <c r="A24" s="1" t="s">
        <v>4</v>
      </c>
      <c r="B24" s="1" t="s">
        <v>5</v>
      </c>
      <c r="C24" s="3" t="s">
        <v>26</v>
      </c>
      <c r="D24" s="1" t="s">
        <v>30</v>
      </c>
      <c r="E24" s="2">
        <v>334</v>
      </c>
      <c r="F24" s="8" t="str">
        <f t="shared" si="0"/>
        <v>11</v>
      </c>
      <c r="G24" s="8" t="str">
        <f t="shared" si="1"/>
        <v>1101</v>
      </c>
      <c r="H24" s="8" t="str">
        <f t="shared" si="2"/>
        <v>1101020</v>
      </c>
      <c r="I24" s="8" t="str">
        <f t="shared" si="3"/>
        <v>1101020004</v>
      </c>
      <c r="J24" s="8" t="str">
        <f t="shared" si="4"/>
        <v>ACEH</v>
      </c>
      <c r="K24" s="8" t="str">
        <f t="shared" si="5"/>
        <v>SIMEULUE</v>
      </c>
      <c r="L24" s="8" t="str">
        <f t="shared" si="6"/>
        <v>SIMEULUE TIMUR</v>
      </c>
      <c r="M24" s="8" t="str">
        <f t="shared" si="7"/>
        <v>SIMPANG ABAIL</v>
      </c>
      <c r="N24" s="8">
        <f t="shared" si="8"/>
        <v>334</v>
      </c>
    </row>
    <row r="25" spans="1:14" ht="15.95" customHeight="1" x14ac:dyDescent="0.25">
      <c r="A25" s="1" t="s">
        <v>4</v>
      </c>
      <c r="B25" s="1" t="s">
        <v>5</v>
      </c>
      <c r="C25" s="3" t="s">
        <v>26</v>
      </c>
      <c r="D25" s="1" t="s">
        <v>31</v>
      </c>
      <c r="E25" s="2">
        <v>324</v>
      </c>
      <c r="F25" s="8" t="str">
        <f t="shared" si="0"/>
        <v>11</v>
      </c>
      <c r="G25" s="8" t="str">
        <f t="shared" si="1"/>
        <v>1101</v>
      </c>
      <c r="H25" s="8" t="str">
        <f t="shared" si="2"/>
        <v>1101020</v>
      </c>
      <c r="I25" s="8" t="str">
        <f t="shared" si="3"/>
        <v>1101020005</v>
      </c>
      <c r="J25" s="8" t="str">
        <f t="shared" si="4"/>
        <v>ACEH</v>
      </c>
      <c r="K25" s="8" t="str">
        <f t="shared" si="5"/>
        <v>SIMEULUE</v>
      </c>
      <c r="L25" s="8" t="str">
        <f t="shared" si="6"/>
        <v>SIMEULUE TIMUR</v>
      </c>
      <c r="M25" s="8" t="str">
        <f t="shared" si="7"/>
        <v>ABAIL</v>
      </c>
      <c r="N25" s="8">
        <f t="shared" si="8"/>
        <v>324</v>
      </c>
    </row>
    <row r="26" spans="1:14" ht="15.95" customHeight="1" x14ac:dyDescent="0.25">
      <c r="A26" s="1" t="s">
        <v>4</v>
      </c>
      <c r="B26" s="1" t="s">
        <v>5</v>
      </c>
      <c r="C26" s="3" t="s">
        <v>26</v>
      </c>
      <c r="D26" s="1" t="s">
        <v>32</v>
      </c>
      <c r="E26" s="2">
        <v>275</v>
      </c>
      <c r="F26" s="8" t="str">
        <f t="shared" si="0"/>
        <v>11</v>
      </c>
      <c r="G26" s="8" t="str">
        <f t="shared" si="1"/>
        <v>1101</v>
      </c>
      <c r="H26" s="8" t="str">
        <f t="shared" si="2"/>
        <v>1101020</v>
      </c>
      <c r="I26" s="8" t="str">
        <f t="shared" si="3"/>
        <v>1101020006</v>
      </c>
      <c r="J26" s="8" t="str">
        <f t="shared" si="4"/>
        <v>ACEH</v>
      </c>
      <c r="K26" s="8" t="str">
        <f t="shared" si="5"/>
        <v>SIMEULUE</v>
      </c>
      <c r="L26" s="8" t="str">
        <f t="shared" si="6"/>
        <v>SIMEULUE TIMUR</v>
      </c>
      <c r="M26" s="8" t="str">
        <f t="shared" si="7"/>
        <v>NANCAWA</v>
      </c>
      <c r="N26" s="8">
        <f t="shared" si="8"/>
        <v>275</v>
      </c>
    </row>
    <row r="27" spans="1:14" ht="15.95" customHeight="1" x14ac:dyDescent="0.25">
      <c r="A27" s="1" t="s">
        <v>4</v>
      </c>
      <c r="B27" s="1" t="s">
        <v>5</v>
      </c>
      <c r="C27" s="3" t="s">
        <v>26</v>
      </c>
      <c r="D27" s="1" t="s">
        <v>33</v>
      </c>
      <c r="E27" s="2">
        <v>452</v>
      </c>
      <c r="F27" s="8" t="str">
        <f t="shared" si="0"/>
        <v>11</v>
      </c>
      <c r="G27" s="8" t="str">
        <f t="shared" si="1"/>
        <v>1101</v>
      </c>
      <c r="H27" s="8" t="str">
        <f t="shared" si="2"/>
        <v>1101020</v>
      </c>
      <c r="I27" s="8" t="str">
        <f t="shared" si="3"/>
        <v>1101020007</v>
      </c>
      <c r="J27" s="8" t="str">
        <f t="shared" si="4"/>
        <v>ACEH</v>
      </c>
      <c r="K27" s="8" t="str">
        <f t="shared" si="5"/>
        <v>SIMEULUE</v>
      </c>
      <c r="L27" s="8" t="str">
        <f t="shared" si="6"/>
        <v>SIMEULUE TIMUR</v>
      </c>
      <c r="M27" s="8" t="str">
        <f t="shared" si="7"/>
        <v>LABUAH</v>
      </c>
      <c r="N27" s="8">
        <f t="shared" si="8"/>
        <v>452</v>
      </c>
    </row>
    <row r="28" spans="1:14" ht="15.95" customHeight="1" x14ac:dyDescent="0.25">
      <c r="A28" s="1" t="s">
        <v>4</v>
      </c>
      <c r="B28" s="1" t="s">
        <v>5</v>
      </c>
      <c r="C28" s="3" t="s">
        <v>26</v>
      </c>
      <c r="D28" s="1" t="s">
        <v>34</v>
      </c>
      <c r="E28" s="2">
        <v>655</v>
      </c>
      <c r="F28" s="8" t="str">
        <f t="shared" si="0"/>
        <v>11</v>
      </c>
      <c r="G28" s="8" t="str">
        <f t="shared" si="1"/>
        <v>1101</v>
      </c>
      <c r="H28" s="8" t="str">
        <f t="shared" si="2"/>
        <v>1101020</v>
      </c>
      <c r="I28" s="8" t="str">
        <f t="shared" si="3"/>
        <v>1101020008</v>
      </c>
      <c r="J28" s="8" t="str">
        <f t="shared" si="4"/>
        <v>ACEH</v>
      </c>
      <c r="K28" s="8" t="str">
        <f t="shared" si="5"/>
        <v>SIMEULUE</v>
      </c>
      <c r="L28" s="8" t="str">
        <f t="shared" si="6"/>
        <v>SIMEULUE TIMUR</v>
      </c>
      <c r="M28" s="8" t="str">
        <f t="shared" si="7"/>
        <v>SUA SUA</v>
      </c>
      <c r="N28" s="8">
        <f t="shared" si="8"/>
        <v>655</v>
      </c>
    </row>
    <row r="29" spans="1:14" ht="15.95" customHeight="1" x14ac:dyDescent="0.25">
      <c r="A29" s="1" t="s">
        <v>4</v>
      </c>
      <c r="B29" s="1" t="s">
        <v>5</v>
      </c>
      <c r="C29" s="3" t="s">
        <v>26</v>
      </c>
      <c r="D29" s="1" t="s">
        <v>35</v>
      </c>
      <c r="E29" s="2">
        <v>609</v>
      </c>
      <c r="F29" s="8" t="str">
        <f t="shared" si="0"/>
        <v>11</v>
      </c>
      <c r="G29" s="8" t="str">
        <f t="shared" si="1"/>
        <v>1101</v>
      </c>
      <c r="H29" s="8" t="str">
        <f t="shared" si="2"/>
        <v>1101020</v>
      </c>
      <c r="I29" s="8" t="str">
        <f t="shared" si="3"/>
        <v>1101020009</v>
      </c>
      <c r="J29" s="8" t="str">
        <f t="shared" si="4"/>
        <v>ACEH</v>
      </c>
      <c r="K29" s="8" t="str">
        <f t="shared" si="5"/>
        <v>SIMEULUE</v>
      </c>
      <c r="L29" s="8" t="str">
        <f t="shared" si="6"/>
        <v>SIMEULUE TIMUR</v>
      </c>
      <c r="M29" s="8" t="str">
        <f t="shared" si="7"/>
        <v>BATU BATU</v>
      </c>
      <c r="N29" s="8">
        <f t="shared" si="8"/>
        <v>609</v>
      </c>
    </row>
    <row r="30" spans="1:14" ht="15.95" customHeight="1" x14ac:dyDescent="0.25">
      <c r="A30" s="1" t="s">
        <v>4</v>
      </c>
      <c r="B30" s="1" t="s">
        <v>5</v>
      </c>
      <c r="C30" s="3" t="s">
        <v>26</v>
      </c>
      <c r="D30" s="1" t="s">
        <v>36</v>
      </c>
      <c r="E30" s="2">
        <v>225</v>
      </c>
      <c r="F30" s="8" t="str">
        <f t="shared" si="0"/>
        <v>11</v>
      </c>
      <c r="G30" s="8" t="str">
        <f t="shared" si="1"/>
        <v>1101</v>
      </c>
      <c r="H30" s="8" t="str">
        <f t="shared" si="2"/>
        <v>1101020</v>
      </c>
      <c r="I30" s="8" t="str">
        <f t="shared" si="3"/>
        <v>1101020010</v>
      </c>
      <c r="J30" s="8" t="str">
        <f t="shared" si="4"/>
        <v>ACEH</v>
      </c>
      <c r="K30" s="8" t="str">
        <f t="shared" si="5"/>
        <v>SIMEULUE</v>
      </c>
      <c r="L30" s="8" t="str">
        <f t="shared" si="6"/>
        <v>SIMEULUE TIMUR</v>
      </c>
      <c r="M30" s="8" t="str">
        <f t="shared" si="7"/>
        <v>SITUBUK</v>
      </c>
      <c r="N30" s="8">
        <f t="shared" si="8"/>
        <v>225</v>
      </c>
    </row>
    <row r="31" spans="1:14" ht="15.95" customHeight="1" x14ac:dyDescent="0.25">
      <c r="A31" s="1" t="s">
        <v>4</v>
      </c>
      <c r="B31" s="1" t="s">
        <v>5</v>
      </c>
      <c r="C31" s="3" t="s">
        <v>26</v>
      </c>
      <c r="D31" s="1" t="s">
        <v>37</v>
      </c>
      <c r="E31" s="5">
        <v>1089</v>
      </c>
      <c r="F31" s="8" t="str">
        <f t="shared" si="0"/>
        <v>11</v>
      </c>
      <c r="G31" s="8" t="str">
        <f t="shared" si="1"/>
        <v>1101</v>
      </c>
      <c r="H31" s="8" t="str">
        <f t="shared" si="2"/>
        <v>1101020</v>
      </c>
      <c r="I31" s="8" t="str">
        <f t="shared" si="3"/>
        <v>1101020022</v>
      </c>
      <c r="J31" s="8" t="str">
        <f t="shared" si="4"/>
        <v>ACEH</v>
      </c>
      <c r="K31" s="8" t="str">
        <f t="shared" si="5"/>
        <v>SIMEULUE</v>
      </c>
      <c r="L31" s="8" t="str">
        <f t="shared" si="6"/>
        <v>SIMEULUE TIMUR</v>
      </c>
      <c r="M31" s="8" t="str">
        <f t="shared" si="7"/>
        <v>AIR PINANG</v>
      </c>
      <c r="N31" s="8">
        <f t="shared" si="8"/>
        <v>1089</v>
      </c>
    </row>
    <row r="32" spans="1:14" ht="15.95" customHeight="1" x14ac:dyDescent="0.25">
      <c r="A32" s="1" t="s">
        <v>4</v>
      </c>
      <c r="B32" s="1" t="s">
        <v>5</v>
      </c>
      <c r="C32" s="3" t="s">
        <v>26</v>
      </c>
      <c r="D32" s="1" t="s">
        <v>38</v>
      </c>
      <c r="E32" s="5">
        <v>1104</v>
      </c>
      <c r="F32" s="8" t="str">
        <f t="shared" si="0"/>
        <v>11</v>
      </c>
      <c r="G32" s="8" t="str">
        <f t="shared" si="1"/>
        <v>1101</v>
      </c>
      <c r="H32" s="8" t="str">
        <f t="shared" si="2"/>
        <v>1101020</v>
      </c>
      <c r="I32" s="8" t="str">
        <f t="shared" si="3"/>
        <v>1101020023</v>
      </c>
      <c r="J32" s="8" t="str">
        <f t="shared" si="4"/>
        <v>ACEH</v>
      </c>
      <c r="K32" s="8" t="str">
        <f t="shared" si="5"/>
        <v>SIMEULUE</v>
      </c>
      <c r="L32" s="8" t="str">
        <f t="shared" si="6"/>
        <v>SIMEULUE TIMUR</v>
      </c>
      <c r="M32" s="8" t="str">
        <f t="shared" si="7"/>
        <v>KUALA MAKMUR</v>
      </c>
      <c r="N32" s="8">
        <f t="shared" si="8"/>
        <v>1104</v>
      </c>
    </row>
    <row r="33" spans="1:14" ht="15.95" customHeight="1" x14ac:dyDescent="0.25">
      <c r="A33" s="1" t="s">
        <v>4</v>
      </c>
      <c r="B33" s="1" t="s">
        <v>5</v>
      </c>
      <c r="C33" s="3" t="s">
        <v>26</v>
      </c>
      <c r="D33" s="1" t="s">
        <v>39</v>
      </c>
      <c r="E33" s="5">
        <v>1151</v>
      </c>
      <c r="F33" s="8" t="str">
        <f t="shared" si="0"/>
        <v>11</v>
      </c>
      <c r="G33" s="8" t="str">
        <f t="shared" si="1"/>
        <v>1101</v>
      </c>
      <c r="H33" s="8" t="str">
        <f t="shared" si="2"/>
        <v>1101020</v>
      </c>
      <c r="I33" s="8" t="str">
        <f t="shared" si="3"/>
        <v>1101020024</v>
      </c>
      <c r="J33" s="8" t="str">
        <f t="shared" si="4"/>
        <v>ACEH</v>
      </c>
      <c r="K33" s="8" t="str">
        <f t="shared" si="5"/>
        <v>SIMEULUE</v>
      </c>
      <c r="L33" s="8" t="str">
        <f t="shared" si="6"/>
        <v>SIMEULUE TIMUR</v>
      </c>
      <c r="M33" s="8" t="str">
        <f t="shared" si="7"/>
        <v>GANTING</v>
      </c>
      <c r="N33" s="8">
        <f t="shared" si="8"/>
        <v>1151</v>
      </c>
    </row>
    <row r="34" spans="1:14" ht="15.95" customHeight="1" x14ac:dyDescent="0.25">
      <c r="A34" s="1" t="s">
        <v>4</v>
      </c>
      <c r="B34" s="1" t="s">
        <v>5</v>
      </c>
      <c r="C34" s="3" t="s">
        <v>26</v>
      </c>
      <c r="D34" s="1" t="s">
        <v>40</v>
      </c>
      <c r="E34" s="2">
        <v>636</v>
      </c>
      <c r="F34" s="8" t="str">
        <f t="shared" si="0"/>
        <v>11</v>
      </c>
      <c r="G34" s="8" t="str">
        <f t="shared" si="1"/>
        <v>1101</v>
      </c>
      <c r="H34" s="8" t="str">
        <f t="shared" si="2"/>
        <v>1101020</v>
      </c>
      <c r="I34" s="8" t="str">
        <f t="shared" si="3"/>
        <v>1101020025</v>
      </c>
      <c r="J34" s="8" t="str">
        <f t="shared" si="4"/>
        <v>ACEH</v>
      </c>
      <c r="K34" s="8" t="str">
        <f t="shared" si="5"/>
        <v>SIMEULUE</v>
      </c>
      <c r="L34" s="8" t="str">
        <f t="shared" si="6"/>
        <v>SIMEULUE TIMUR</v>
      </c>
      <c r="M34" s="8" t="str">
        <f t="shared" si="7"/>
        <v>LINGGI</v>
      </c>
      <c r="N34" s="8">
        <f t="shared" si="8"/>
        <v>636</v>
      </c>
    </row>
    <row r="35" spans="1:14" ht="15.95" customHeight="1" x14ac:dyDescent="0.25">
      <c r="A35" s="1" t="s">
        <v>4</v>
      </c>
      <c r="B35" s="1" t="s">
        <v>5</v>
      </c>
      <c r="C35" s="3" t="s">
        <v>26</v>
      </c>
      <c r="D35" s="1" t="s">
        <v>41</v>
      </c>
      <c r="E35" s="2">
        <v>781</v>
      </c>
      <c r="F35" s="8" t="str">
        <f t="shared" si="0"/>
        <v>11</v>
      </c>
      <c r="G35" s="8" t="str">
        <f t="shared" si="1"/>
        <v>1101</v>
      </c>
      <c r="H35" s="8" t="str">
        <f t="shared" si="2"/>
        <v>1101020</v>
      </c>
      <c r="I35" s="8" t="str">
        <f t="shared" si="3"/>
        <v>1101020026</v>
      </c>
      <c r="J35" s="8" t="str">
        <f t="shared" si="4"/>
        <v>ACEH</v>
      </c>
      <c r="K35" s="8" t="str">
        <f t="shared" si="5"/>
        <v>SIMEULUE</v>
      </c>
      <c r="L35" s="8" t="str">
        <f t="shared" si="6"/>
        <v>SIMEULUE TIMUR</v>
      </c>
      <c r="M35" s="8" t="str">
        <f t="shared" si="7"/>
        <v>LUGU</v>
      </c>
      <c r="N35" s="8">
        <f t="shared" si="8"/>
        <v>781</v>
      </c>
    </row>
    <row r="36" spans="1:14" ht="15.95" customHeight="1" x14ac:dyDescent="0.25">
      <c r="A36" s="1" t="s">
        <v>4</v>
      </c>
      <c r="B36" s="1" t="s">
        <v>5</v>
      </c>
      <c r="C36" s="3" t="s">
        <v>26</v>
      </c>
      <c r="D36" s="1" t="s">
        <v>42</v>
      </c>
      <c r="E36" s="5">
        <v>1704</v>
      </c>
      <c r="F36" s="8" t="str">
        <f t="shared" si="0"/>
        <v>11</v>
      </c>
      <c r="G36" s="8" t="str">
        <f t="shared" si="1"/>
        <v>1101</v>
      </c>
      <c r="H36" s="8" t="str">
        <f t="shared" si="2"/>
        <v>1101020</v>
      </c>
      <c r="I36" s="8" t="str">
        <f t="shared" si="3"/>
        <v>1101020027</v>
      </c>
      <c r="J36" s="8" t="str">
        <f t="shared" si="4"/>
        <v>ACEH</v>
      </c>
      <c r="K36" s="8" t="str">
        <f t="shared" si="5"/>
        <v>SIMEULUE</v>
      </c>
      <c r="L36" s="8" t="str">
        <f t="shared" si="6"/>
        <v>SIMEULUE TIMUR</v>
      </c>
      <c r="M36" s="8" t="str">
        <f t="shared" si="7"/>
        <v>SINABANG</v>
      </c>
      <c r="N36" s="8">
        <f t="shared" si="8"/>
        <v>1704</v>
      </c>
    </row>
    <row r="37" spans="1:14" ht="15.95" customHeight="1" x14ac:dyDescent="0.25">
      <c r="A37" s="1" t="s">
        <v>4</v>
      </c>
      <c r="B37" s="1" t="s">
        <v>5</v>
      </c>
      <c r="C37" s="3" t="s">
        <v>26</v>
      </c>
      <c r="D37" s="1" t="s">
        <v>43</v>
      </c>
      <c r="E37" s="5">
        <v>2415</v>
      </c>
      <c r="F37" s="8" t="str">
        <f t="shared" si="0"/>
        <v>11</v>
      </c>
      <c r="G37" s="8" t="str">
        <f t="shared" si="1"/>
        <v>1101</v>
      </c>
      <c r="H37" s="8" t="str">
        <f t="shared" si="2"/>
        <v>1101020</v>
      </c>
      <c r="I37" s="8" t="str">
        <f t="shared" si="3"/>
        <v>1101020028</v>
      </c>
      <c r="J37" s="8" t="str">
        <f t="shared" si="4"/>
        <v>ACEH</v>
      </c>
      <c r="K37" s="8" t="str">
        <f t="shared" si="5"/>
        <v>SIMEULUE</v>
      </c>
      <c r="L37" s="8" t="str">
        <f t="shared" si="6"/>
        <v>SIMEULUE TIMUR</v>
      </c>
      <c r="M37" s="8" t="str">
        <f t="shared" si="7"/>
        <v>SUKA MAJU</v>
      </c>
      <c r="N37" s="8">
        <f t="shared" si="8"/>
        <v>2415</v>
      </c>
    </row>
    <row r="38" spans="1:14" ht="15.95" customHeight="1" x14ac:dyDescent="0.25">
      <c r="A38" s="1" t="s">
        <v>4</v>
      </c>
      <c r="B38" s="1" t="s">
        <v>5</v>
      </c>
      <c r="C38" s="3" t="s">
        <v>26</v>
      </c>
      <c r="D38" s="1" t="s">
        <v>44</v>
      </c>
      <c r="E38" s="5">
        <v>4466</v>
      </c>
      <c r="F38" s="8" t="str">
        <f t="shared" si="0"/>
        <v>11</v>
      </c>
      <c r="G38" s="8" t="str">
        <f t="shared" si="1"/>
        <v>1101</v>
      </c>
      <c r="H38" s="8" t="str">
        <f t="shared" si="2"/>
        <v>1101020</v>
      </c>
      <c r="I38" s="8" t="str">
        <f t="shared" si="3"/>
        <v>1101020029</v>
      </c>
      <c r="J38" s="8" t="str">
        <f t="shared" si="4"/>
        <v>ACEH</v>
      </c>
      <c r="K38" s="8" t="str">
        <f t="shared" si="5"/>
        <v>SIMEULUE</v>
      </c>
      <c r="L38" s="8" t="str">
        <f t="shared" si="6"/>
        <v>SIMEULUE TIMUR</v>
      </c>
      <c r="M38" s="8" t="str">
        <f t="shared" si="7"/>
        <v>SUKA KARYA</v>
      </c>
      <c r="N38" s="8">
        <f t="shared" si="8"/>
        <v>4466</v>
      </c>
    </row>
    <row r="39" spans="1:14" ht="15.95" customHeight="1" x14ac:dyDescent="0.25">
      <c r="A39" s="1" t="s">
        <v>4</v>
      </c>
      <c r="B39" s="1" t="s">
        <v>5</v>
      </c>
      <c r="C39" s="3" t="s">
        <v>26</v>
      </c>
      <c r="D39" s="1" t="s">
        <v>45</v>
      </c>
      <c r="E39" s="5">
        <v>2536</v>
      </c>
      <c r="F39" s="8" t="str">
        <f t="shared" si="0"/>
        <v>11</v>
      </c>
      <c r="G39" s="8" t="str">
        <f t="shared" si="1"/>
        <v>1101</v>
      </c>
      <c r="H39" s="8" t="str">
        <f t="shared" si="2"/>
        <v>1101020</v>
      </c>
      <c r="I39" s="8" t="str">
        <f t="shared" si="3"/>
        <v>1101020030</v>
      </c>
      <c r="J39" s="8" t="str">
        <f t="shared" si="4"/>
        <v>ACEH</v>
      </c>
      <c r="K39" s="8" t="str">
        <f t="shared" si="5"/>
        <v>SIMEULUE</v>
      </c>
      <c r="L39" s="8" t="str">
        <f t="shared" si="6"/>
        <v>SIMEULUE TIMUR</v>
      </c>
      <c r="M39" s="8" t="str">
        <f t="shared" si="7"/>
        <v>SUKA JAYA</v>
      </c>
      <c r="N39" s="8">
        <f t="shared" si="8"/>
        <v>2536</v>
      </c>
    </row>
    <row r="40" spans="1:14" ht="15.95" customHeight="1" x14ac:dyDescent="0.25">
      <c r="A40" s="1" t="s">
        <v>4</v>
      </c>
      <c r="B40" s="1" t="s">
        <v>5</v>
      </c>
      <c r="C40" s="3" t="s">
        <v>26</v>
      </c>
      <c r="D40" s="1" t="s">
        <v>46</v>
      </c>
      <c r="E40" s="5">
        <v>2728</v>
      </c>
      <c r="F40" s="8" t="str">
        <f t="shared" si="0"/>
        <v>11</v>
      </c>
      <c r="G40" s="8" t="str">
        <f t="shared" si="1"/>
        <v>1101</v>
      </c>
      <c r="H40" s="8" t="str">
        <f t="shared" si="2"/>
        <v>1101020</v>
      </c>
      <c r="I40" s="8" t="str">
        <f t="shared" si="3"/>
        <v>1101020031</v>
      </c>
      <c r="J40" s="8" t="str">
        <f t="shared" si="4"/>
        <v>ACEH</v>
      </c>
      <c r="K40" s="8" t="str">
        <f t="shared" si="5"/>
        <v>SIMEULUE</v>
      </c>
      <c r="L40" s="8" t="str">
        <f t="shared" si="6"/>
        <v>SIMEULUE TIMUR</v>
      </c>
      <c r="M40" s="8" t="str">
        <f t="shared" si="7"/>
        <v>AIR DINGIN</v>
      </c>
      <c r="N40" s="8">
        <f t="shared" si="8"/>
        <v>2728</v>
      </c>
    </row>
    <row r="41" spans="1:14" ht="15.95" customHeight="1" x14ac:dyDescent="0.25">
      <c r="A41" s="1" t="s">
        <v>4</v>
      </c>
      <c r="B41" s="1" t="s">
        <v>5</v>
      </c>
      <c r="C41" s="3" t="s">
        <v>26</v>
      </c>
      <c r="D41" s="1" t="s">
        <v>47</v>
      </c>
      <c r="E41" s="5">
        <v>1080</v>
      </c>
      <c r="F41" s="8" t="str">
        <f t="shared" si="0"/>
        <v>11</v>
      </c>
      <c r="G41" s="8" t="str">
        <f t="shared" si="1"/>
        <v>1101</v>
      </c>
      <c r="H41" s="8" t="str">
        <f t="shared" si="2"/>
        <v>1101020</v>
      </c>
      <c r="I41" s="8" t="str">
        <f t="shared" si="3"/>
        <v>1101020032</v>
      </c>
      <c r="J41" s="8" t="str">
        <f t="shared" si="4"/>
        <v>ACEH</v>
      </c>
      <c r="K41" s="8" t="str">
        <f t="shared" si="5"/>
        <v>SIMEULUE</v>
      </c>
      <c r="L41" s="8" t="str">
        <f t="shared" si="6"/>
        <v>SIMEULUE TIMUR</v>
      </c>
      <c r="M41" s="8" t="str">
        <f t="shared" si="7"/>
        <v>KOTA BATU</v>
      </c>
      <c r="N41" s="8">
        <f t="shared" si="8"/>
        <v>1080</v>
      </c>
    </row>
    <row r="42" spans="1:14" ht="15.95" customHeight="1" x14ac:dyDescent="0.25">
      <c r="A42" s="1" t="s">
        <v>4</v>
      </c>
      <c r="B42" s="1" t="s">
        <v>5</v>
      </c>
      <c r="C42" s="3" t="s">
        <v>26</v>
      </c>
      <c r="D42" s="1" t="s">
        <v>48</v>
      </c>
      <c r="E42" s="2">
        <v>587</v>
      </c>
      <c r="F42" s="8" t="str">
        <f t="shared" si="0"/>
        <v>11</v>
      </c>
      <c r="G42" s="8" t="str">
        <f t="shared" si="1"/>
        <v>1101</v>
      </c>
      <c r="H42" s="8" t="str">
        <f t="shared" si="2"/>
        <v>1101020</v>
      </c>
      <c r="I42" s="8" t="str">
        <f t="shared" si="3"/>
        <v>1101020033</v>
      </c>
      <c r="J42" s="8" t="str">
        <f t="shared" si="4"/>
        <v>ACEH</v>
      </c>
      <c r="K42" s="8" t="str">
        <f t="shared" si="5"/>
        <v>SIMEULUE</v>
      </c>
      <c r="L42" s="8" t="str">
        <f t="shared" si="6"/>
        <v>SIMEULUE TIMUR</v>
      </c>
      <c r="M42" s="8" t="str">
        <f t="shared" si="7"/>
        <v>BUSUNG INDAH</v>
      </c>
      <c r="N42" s="8">
        <f t="shared" si="8"/>
        <v>587</v>
      </c>
    </row>
    <row r="43" spans="1:14" ht="15.95" customHeight="1" x14ac:dyDescent="0.25">
      <c r="A43" s="1" t="s">
        <v>4</v>
      </c>
      <c r="B43" s="1" t="s">
        <v>5</v>
      </c>
      <c r="C43" s="3" t="s">
        <v>26</v>
      </c>
      <c r="D43" s="1" t="s">
        <v>49</v>
      </c>
      <c r="E43" s="2">
        <v>533</v>
      </c>
      <c r="F43" s="8" t="str">
        <f t="shared" si="0"/>
        <v>11</v>
      </c>
      <c r="G43" s="8" t="str">
        <f t="shared" si="1"/>
        <v>1101</v>
      </c>
      <c r="H43" s="8" t="str">
        <f t="shared" si="2"/>
        <v>1101020</v>
      </c>
      <c r="I43" s="8" t="str">
        <f t="shared" si="3"/>
        <v>1101020034</v>
      </c>
      <c r="J43" s="8" t="str">
        <f t="shared" si="4"/>
        <v>ACEH</v>
      </c>
      <c r="K43" s="8" t="str">
        <f t="shared" si="5"/>
        <v>SIMEULUE</v>
      </c>
      <c r="L43" s="8" t="str">
        <f t="shared" si="6"/>
        <v>SIMEULUE TIMUR</v>
      </c>
      <c r="M43" s="8" t="str">
        <f t="shared" si="7"/>
        <v>KAHAT</v>
      </c>
      <c r="N43" s="8">
        <f t="shared" si="8"/>
        <v>533</v>
      </c>
    </row>
    <row r="44" spans="1:14" ht="15.95" customHeight="1" x14ac:dyDescent="0.25">
      <c r="A44" s="1" t="s">
        <v>4</v>
      </c>
      <c r="B44" s="1" t="s">
        <v>5</v>
      </c>
      <c r="C44" s="3" t="s">
        <v>26</v>
      </c>
      <c r="D44" s="1" t="s">
        <v>50</v>
      </c>
      <c r="E44" s="5">
        <v>1184</v>
      </c>
      <c r="F44" s="8" t="str">
        <f t="shared" si="0"/>
        <v>11</v>
      </c>
      <c r="G44" s="8" t="str">
        <f t="shared" si="1"/>
        <v>1101</v>
      </c>
      <c r="H44" s="8" t="str">
        <f t="shared" si="2"/>
        <v>1101020</v>
      </c>
      <c r="I44" s="8" t="str">
        <f t="shared" si="3"/>
        <v>1101020035</v>
      </c>
      <c r="J44" s="8" t="str">
        <f t="shared" si="4"/>
        <v>ACEH</v>
      </c>
      <c r="K44" s="8" t="str">
        <f t="shared" si="5"/>
        <v>SIMEULUE</v>
      </c>
      <c r="L44" s="8" t="str">
        <f t="shared" si="6"/>
        <v>SIMEULUE TIMUR</v>
      </c>
      <c r="M44" s="8" t="str">
        <f t="shared" si="7"/>
        <v>SUAK BULUH</v>
      </c>
      <c r="N44" s="8">
        <f t="shared" si="8"/>
        <v>1184</v>
      </c>
    </row>
    <row r="45" spans="1:14" ht="15.95" customHeight="1" x14ac:dyDescent="0.25">
      <c r="A45" s="1" t="s">
        <v>4</v>
      </c>
      <c r="B45" s="1" t="s">
        <v>5</v>
      </c>
      <c r="C45" s="3" t="s">
        <v>26</v>
      </c>
      <c r="D45" s="1" t="s">
        <v>51</v>
      </c>
      <c r="E45" s="2">
        <v>388</v>
      </c>
      <c r="F45" s="8" t="str">
        <f t="shared" si="0"/>
        <v>11</v>
      </c>
      <c r="G45" s="8" t="str">
        <f t="shared" si="1"/>
        <v>1101</v>
      </c>
      <c r="H45" s="8" t="str">
        <f t="shared" si="2"/>
        <v>1101020</v>
      </c>
      <c r="I45" s="8" t="str">
        <f t="shared" si="3"/>
        <v>1101020036</v>
      </c>
      <c r="J45" s="8" t="str">
        <f t="shared" si="4"/>
        <v>ACEH</v>
      </c>
      <c r="K45" s="8" t="str">
        <f t="shared" si="5"/>
        <v>SIMEULUE</v>
      </c>
      <c r="L45" s="8" t="str">
        <f t="shared" si="6"/>
        <v>SIMEULUE TIMUR</v>
      </c>
      <c r="M45" s="8" t="str">
        <f t="shared" si="7"/>
        <v>UJUNG TINGGI</v>
      </c>
      <c r="N45" s="8">
        <f t="shared" si="8"/>
        <v>388</v>
      </c>
    </row>
    <row r="46" spans="1:14" ht="15.95" customHeight="1" x14ac:dyDescent="0.25">
      <c r="A46" s="1" t="s">
        <v>4</v>
      </c>
      <c r="B46" s="1" t="s">
        <v>5</v>
      </c>
      <c r="C46" s="3" t="s">
        <v>26</v>
      </c>
      <c r="D46" s="1" t="s">
        <v>52</v>
      </c>
      <c r="E46" s="2">
        <v>310</v>
      </c>
      <c r="F46" s="8" t="str">
        <f t="shared" si="0"/>
        <v>11</v>
      </c>
      <c r="G46" s="8" t="str">
        <f t="shared" si="1"/>
        <v>1101</v>
      </c>
      <c r="H46" s="8" t="str">
        <f t="shared" si="2"/>
        <v>1101020</v>
      </c>
      <c r="I46" s="8" t="str">
        <f t="shared" si="3"/>
        <v>1101020037</v>
      </c>
      <c r="J46" s="8" t="str">
        <f t="shared" si="4"/>
        <v>ACEH</v>
      </c>
      <c r="K46" s="8" t="str">
        <f t="shared" si="5"/>
        <v>SIMEULUE</v>
      </c>
      <c r="L46" s="8" t="str">
        <f t="shared" si="6"/>
        <v>SIMEULUE TIMUR</v>
      </c>
      <c r="M46" s="8" t="str">
        <f t="shared" si="7"/>
        <v>PULAU SIUMAT</v>
      </c>
      <c r="N46" s="8">
        <f t="shared" si="8"/>
        <v>310</v>
      </c>
    </row>
    <row r="47" spans="1:14" ht="15.95" customHeight="1" x14ac:dyDescent="0.25">
      <c r="A47" s="1" t="s">
        <v>4</v>
      </c>
      <c r="B47" s="1" t="s">
        <v>5</v>
      </c>
      <c r="C47" s="3" t="s">
        <v>26</v>
      </c>
      <c r="D47" s="1" t="s">
        <v>53</v>
      </c>
      <c r="E47" s="2">
        <v>454</v>
      </c>
      <c r="F47" s="8" t="str">
        <f t="shared" si="0"/>
        <v>11</v>
      </c>
      <c r="G47" s="8" t="str">
        <f t="shared" si="1"/>
        <v>1101</v>
      </c>
      <c r="H47" s="8" t="str">
        <f t="shared" si="2"/>
        <v>1101020</v>
      </c>
      <c r="I47" s="8" t="str">
        <f t="shared" si="3"/>
        <v>1101020038</v>
      </c>
      <c r="J47" s="8" t="str">
        <f t="shared" si="4"/>
        <v>ACEH</v>
      </c>
      <c r="K47" s="8" t="str">
        <f t="shared" si="5"/>
        <v>SIMEULUE</v>
      </c>
      <c r="L47" s="8" t="str">
        <f t="shared" si="6"/>
        <v>SIMEULUE TIMUR</v>
      </c>
      <c r="M47" s="8" t="str">
        <f t="shared" si="7"/>
        <v>SEFOYAN</v>
      </c>
      <c r="N47" s="8">
        <f t="shared" si="8"/>
        <v>454</v>
      </c>
    </row>
    <row r="48" spans="1:14" ht="15.95" customHeight="1" x14ac:dyDescent="0.25">
      <c r="A48" s="1" t="s">
        <v>4</v>
      </c>
      <c r="B48" s="1" t="s">
        <v>5</v>
      </c>
      <c r="C48" s="3" t="s">
        <v>26</v>
      </c>
      <c r="D48" s="1" t="s">
        <v>54</v>
      </c>
      <c r="E48" s="2">
        <v>518</v>
      </c>
      <c r="F48" s="8" t="str">
        <f t="shared" si="0"/>
        <v>11</v>
      </c>
      <c r="G48" s="8" t="str">
        <f t="shared" si="1"/>
        <v>1101</v>
      </c>
      <c r="H48" s="8" t="str">
        <f t="shared" si="2"/>
        <v>1101020</v>
      </c>
      <c r="I48" s="8" t="str">
        <f t="shared" si="3"/>
        <v>1101020039</v>
      </c>
      <c r="J48" s="8" t="str">
        <f t="shared" si="4"/>
        <v>ACEH</v>
      </c>
      <c r="K48" s="8" t="str">
        <f t="shared" si="5"/>
        <v>SIMEULUE</v>
      </c>
      <c r="L48" s="8" t="str">
        <f t="shared" si="6"/>
        <v>SIMEULUE TIMUR</v>
      </c>
      <c r="M48" s="8" t="str">
        <f t="shared" si="7"/>
        <v>AMAITENG MULIA</v>
      </c>
      <c r="N48" s="8">
        <f t="shared" si="8"/>
        <v>518</v>
      </c>
    </row>
    <row r="49" spans="1:14" ht="15.95" customHeight="1" x14ac:dyDescent="0.25">
      <c r="A49" s="1" t="s">
        <v>4</v>
      </c>
      <c r="B49" s="1" t="s">
        <v>5</v>
      </c>
      <c r="C49" s="3" t="s">
        <v>26</v>
      </c>
      <c r="D49" s="1" t="s">
        <v>55</v>
      </c>
      <c r="E49" s="2">
        <v>595</v>
      </c>
      <c r="F49" s="8" t="str">
        <f t="shared" si="0"/>
        <v>11</v>
      </c>
      <c r="G49" s="8" t="str">
        <f t="shared" si="1"/>
        <v>1101</v>
      </c>
      <c r="H49" s="8" t="str">
        <f t="shared" si="2"/>
        <v>1101020</v>
      </c>
      <c r="I49" s="8" t="str">
        <f t="shared" si="3"/>
        <v>1101020040</v>
      </c>
      <c r="J49" s="8" t="str">
        <f t="shared" si="4"/>
        <v>ACEH</v>
      </c>
      <c r="K49" s="8" t="str">
        <f t="shared" si="5"/>
        <v>SIMEULUE</v>
      </c>
      <c r="L49" s="8" t="str">
        <f t="shared" si="6"/>
        <v>SIMEULUE TIMUR</v>
      </c>
      <c r="M49" s="8" t="str">
        <f t="shared" si="7"/>
        <v>AMERIA BAHAGIA</v>
      </c>
      <c r="N49" s="8">
        <f t="shared" si="8"/>
        <v>595</v>
      </c>
    </row>
    <row r="50" spans="1:14" ht="15.95" customHeight="1" x14ac:dyDescent="0.25">
      <c r="A50" s="1" t="s">
        <v>4</v>
      </c>
      <c r="B50" s="1" t="s">
        <v>5</v>
      </c>
      <c r="C50" s="3" t="s">
        <v>56</v>
      </c>
      <c r="D50" s="3" t="s">
        <v>57</v>
      </c>
      <c r="E50" s="4">
        <v>273</v>
      </c>
      <c r="F50" s="8" t="str">
        <f t="shared" si="0"/>
        <v>11</v>
      </c>
      <c r="G50" s="8" t="str">
        <f t="shared" si="1"/>
        <v>1101</v>
      </c>
      <c r="H50" s="8" t="str">
        <f t="shared" si="2"/>
        <v>1101021</v>
      </c>
      <c r="I50" s="8" t="str">
        <f t="shared" si="3"/>
        <v>1101021001</v>
      </c>
      <c r="J50" s="8" t="str">
        <f t="shared" si="4"/>
        <v>ACEH</v>
      </c>
      <c r="K50" s="8" t="str">
        <f t="shared" si="5"/>
        <v>SIMEULUE</v>
      </c>
      <c r="L50" s="8" t="str">
        <f t="shared" si="6"/>
        <v>TEUPAH BARAT</v>
      </c>
      <c r="M50" s="8" t="str">
        <f t="shared" si="7"/>
        <v>SITAL</v>
      </c>
      <c r="N50" s="8">
        <f t="shared" si="8"/>
        <v>273</v>
      </c>
    </row>
    <row r="51" spans="1:14" ht="15.95" customHeight="1" x14ac:dyDescent="0.25">
      <c r="A51" s="1" t="s">
        <v>4</v>
      </c>
      <c r="B51" s="1" t="s">
        <v>5</v>
      </c>
      <c r="C51" s="3" t="s">
        <v>56</v>
      </c>
      <c r="D51" s="1" t="s">
        <v>58</v>
      </c>
      <c r="E51" s="2">
        <v>831</v>
      </c>
      <c r="F51" s="8" t="str">
        <f t="shared" si="0"/>
        <v>11</v>
      </c>
      <c r="G51" s="8" t="str">
        <f t="shared" si="1"/>
        <v>1101</v>
      </c>
      <c r="H51" s="8" t="str">
        <f t="shared" si="2"/>
        <v>1101021</v>
      </c>
      <c r="I51" s="8" t="str">
        <f t="shared" si="3"/>
        <v>1101021002</v>
      </c>
      <c r="J51" s="8" t="str">
        <f t="shared" si="4"/>
        <v>ACEH</v>
      </c>
      <c r="K51" s="8" t="str">
        <f t="shared" si="5"/>
        <v>SIMEULUE</v>
      </c>
      <c r="L51" s="8" t="str">
        <f t="shared" si="6"/>
        <v>TEUPAH BARAT</v>
      </c>
      <c r="M51" s="8" t="str">
        <f t="shared" si="7"/>
        <v>LEUBANG</v>
      </c>
      <c r="N51" s="8">
        <f t="shared" si="8"/>
        <v>831</v>
      </c>
    </row>
    <row r="52" spans="1:14" ht="15.95" customHeight="1" x14ac:dyDescent="0.25">
      <c r="A52" s="1" t="s">
        <v>4</v>
      </c>
      <c r="B52" s="1" t="s">
        <v>5</v>
      </c>
      <c r="C52" s="3" t="s">
        <v>56</v>
      </c>
      <c r="D52" s="1" t="s">
        <v>59</v>
      </c>
      <c r="E52" s="2">
        <v>383</v>
      </c>
      <c r="F52" s="8" t="str">
        <f t="shared" si="0"/>
        <v>11</v>
      </c>
      <c r="G52" s="8" t="str">
        <f t="shared" si="1"/>
        <v>1101</v>
      </c>
      <c r="H52" s="8" t="str">
        <f t="shared" si="2"/>
        <v>1101021</v>
      </c>
      <c r="I52" s="8" t="str">
        <f t="shared" si="3"/>
        <v>1101021003</v>
      </c>
      <c r="J52" s="8" t="str">
        <f t="shared" si="4"/>
        <v>ACEH</v>
      </c>
      <c r="K52" s="8" t="str">
        <f t="shared" si="5"/>
        <v>SIMEULUE</v>
      </c>
      <c r="L52" s="8" t="str">
        <f t="shared" si="6"/>
        <v>TEUPAH BARAT</v>
      </c>
      <c r="M52" s="8" t="str">
        <f t="shared" si="7"/>
        <v>LEUBANG HULU</v>
      </c>
      <c r="N52" s="8">
        <f t="shared" si="8"/>
        <v>383</v>
      </c>
    </row>
    <row r="53" spans="1:14" ht="15.95" customHeight="1" x14ac:dyDescent="0.25">
      <c r="A53" s="1" t="s">
        <v>4</v>
      </c>
      <c r="B53" s="1" t="s">
        <v>5</v>
      </c>
      <c r="C53" s="3" t="s">
        <v>56</v>
      </c>
      <c r="D53" s="1" t="s">
        <v>60</v>
      </c>
      <c r="E53" s="2">
        <v>521</v>
      </c>
      <c r="F53" s="8" t="str">
        <f t="shared" si="0"/>
        <v>11</v>
      </c>
      <c r="G53" s="8" t="str">
        <f t="shared" si="1"/>
        <v>1101</v>
      </c>
      <c r="H53" s="8" t="str">
        <f t="shared" si="2"/>
        <v>1101021</v>
      </c>
      <c r="I53" s="8" t="str">
        <f t="shared" si="3"/>
        <v>1101021004</v>
      </c>
      <c r="J53" s="8" t="str">
        <f t="shared" si="4"/>
        <v>ACEH</v>
      </c>
      <c r="K53" s="8" t="str">
        <f t="shared" si="5"/>
        <v>SIMEULUE</v>
      </c>
      <c r="L53" s="8" t="str">
        <f t="shared" si="6"/>
        <v>TEUPAH BARAT</v>
      </c>
      <c r="M53" s="8" t="str">
        <f t="shared" si="7"/>
        <v>AWE SEUBAL</v>
      </c>
      <c r="N53" s="8">
        <f t="shared" si="8"/>
        <v>521</v>
      </c>
    </row>
    <row r="54" spans="1:14" ht="15.95" customHeight="1" x14ac:dyDescent="0.25">
      <c r="A54" s="1" t="s">
        <v>4</v>
      </c>
      <c r="B54" s="1" t="s">
        <v>5</v>
      </c>
      <c r="C54" s="3" t="s">
        <v>56</v>
      </c>
      <c r="D54" s="1" t="s">
        <v>61</v>
      </c>
      <c r="E54" s="2">
        <v>456</v>
      </c>
      <c r="F54" s="8" t="str">
        <f t="shared" si="0"/>
        <v>11</v>
      </c>
      <c r="G54" s="8" t="str">
        <f t="shared" si="1"/>
        <v>1101</v>
      </c>
      <c r="H54" s="8" t="str">
        <f t="shared" si="2"/>
        <v>1101021</v>
      </c>
      <c r="I54" s="8" t="str">
        <f t="shared" si="3"/>
        <v>1101021005</v>
      </c>
      <c r="J54" s="8" t="str">
        <f t="shared" si="4"/>
        <v>ACEH</v>
      </c>
      <c r="K54" s="8" t="str">
        <f t="shared" si="5"/>
        <v>SIMEULUE</v>
      </c>
      <c r="L54" s="8" t="str">
        <f t="shared" si="6"/>
        <v>TEUPAH BARAT</v>
      </c>
      <c r="M54" s="8" t="str">
        <f t="shared" si="7"/>
        <v>LANTIK</v>
      </c>
      <c r="N54" s="8">
        <f t="shared" si="8"/>
        <v>456</v>
      </c>
    </row>
    <row r="55" spans="1:14" ht="15.95" customHeight="1" x14ac:dyDescent="0.25">
      <c r="A55" s="1" t="s">
        <v>4</v>
      </c>
      <c r="B55" s="1" t="s">
        <v>5</v>
      </c>
      <c r="C55" s="3" t="s">
        <v>56</v>
      </c>
      <c r="D55" s="1" t="s">
        <v>62</v>
      </c>
      <c r="E55" s="2">
        <v>318</v>
      </c>
      <c r="F55" s="8" t="str">
        <f t="shared" si="0"/>
        <v>11</v>
      </c>
      <c r="G55" s="8" t="str">
        <f t="shared" si="1"/>
        <v>1101</v>
      </c>
      <c r="H55" s="8" t="str">
        <f t="shared" si="2"/>
        <v>1101021</v>
      </c>
      <c r="I55" s="8" t="str">
        <f t="shared" si="3"/>
        <v>1101021006</v>
      </c>
      <c r="J55" s="8" t="str">
        <f t="shared" si="4"/>
        <v>ACEH</v>
      </c>
      <c r="K55" s="8" t="str">
        <f t="shared" si="5"/>
        <v>SIMEULUE</v>
      </c>
      <c r="L55" s="8" t="str">
        <f t="shared" si="6"/>
        <v>TEUPAH BARAT</v>
      </c>
      <c r="M55" s="8" t="str">
        <f t="shared" si="7"/>
        <v>AWE KECIL</v>
      </c>
      <c r="N55" s="8">
        <f t="shared" si="8"/>
        <v>318</v>
      </c>
    </row>
    <row r="56" spans="1:14" ht="15.95" customHeight="1" x14ac:dyDescent="0.25">
      <c r="A56" s="1" t="s">
        <v>4</v>
      </c>
      <c r="B56" s="1" t="s">
        <v>5</v>
      </c>
      <c r="C56" s="3" t="s">
        <v>56</v>
      </c>
      <c r="D56" s="1" t="s">
        <v>63</v>
      </c>
      <c r="E56" s="2">
        <v>689</v>
      </c>
      <c r="F56" s="8" t="str">
        <f t="shared" si="0"/>
        <v>11</v>
      </c>
      <c r="G56" s="8" t="str">
        <f t="shared" si="1"/>
        <v>1101</v>
      </c>
      <c r="H56" s="8" t="str">
        <f t="shared" si="2"/>
        <v>1101021</v>
      </c>
      <c r="I56" s="8" t="str">
        <f t="shared" si="3"/>
        <v>1101021007</v>
      </c>
      <c r="J56" s="8" t="str">
        <f t="shared" si="4"/>
        <v>ACEH</v>
      </c>
      <c r="K56" s="8" t="str">
        <f t="shared" si="5"/>
        <v>SIMEULUE</v>
      </c>
      <c r="L56" s="8" t="str">
        <f t="shared" si="6"/>
        <v>TEUPAH BARAT</v>
      </c>
      <c r="M56" s="8" t="str">
        <f t="shared" si="7"/>
        <v>SALUR</v>
      </c>
      <c r="N56" s="8">
        <f t="shared" si="8"/>
        <v>689</v>
      </c>
    </row>
    <row r="57" spans="1:14" ht="15.95" customHeight="1" x14ac:dyDescent="0.25">
      <c r="A57" s="1" t="s">
        <v>4</v>
      </c>
      <c r="B57" s="1" t="s">
        <v>5</v>
      </c>
      <c r="C57" s="3" t="s">
        <v>56</v>
      </c>
      <c r="D57" s="1" t="s">
        <v>64</v>
      </c>
      <c r="E57" s="2">
        <v>231</v>
      </c>
      <c r="F57" s="8" t="str">
        <f t="shared" si="0"/>
        <v>11</v>
      </c>
      <c r="G57" s="8" t="str">
        <f t="shared" si="1"/>
        <v>1101</v>
      </c>
      <c r="H57" s="8" t="str">
        <f t="shared" si="2"/>
        <v>1101021</v>
      </c>
      <c r="I57" s="8" t="str">
        <f t="shared" si="3"/>
        <v>1101021008</v>
      </c>
      <c r="J57" s="8" t="str">
        <f t="shared" si="4"/>
        <v>ACEH</v>
      </c>
      <c r="K57" s="8" t="str">
        <f t="shared" si="5"/>
        <v>SIMEULUE</v>
      </c>
      <c r="L57" s="8" t="str">
        <f t="shared" si="6"/>
        <v>TEUPAH BARAT</v>
      </c>
      <c r="M57" s="8" t="str">
        <f t="shared" si="7"/>
        <v>SALUR LATUN</v>
      </c>
      <c r="N57" s="8">
        <f t="shared" si="8"/>
        <v>231</v>
      </c>
    </row>
    <row r="58" spans="1:14" ht="15.95" customHeight="1" x14ac:dyDescent="0.25">
      <c r="A58" s="1" t="s">
        <v>4</v>
      </c>
      <c r="B58" s="1" t="s">
        <v>5</v>
      </c>
      <c r="C58" s="3" t="s">
        <v>56</v>
      </c>
      <c r="D58" s="1" t="s">
        <v>65</v>
      </c>
      <c r="E58" s="2">
        <v>519</v>
      </c>
      <c r="F58" s="8" t="str">
        <f t="shared" si="0"/>
        <v>11</v>
      </c>
      <c r="G58" s="8" t="str">
        <f t="shared" si="1"/>
        <v>1101</v>
      </c>
      <c r="H58" s="8" t="str">
        <f t="shared" si="2"/>
        <v>1101021</v>
      </c>
      <c r="I58" s="8" t="str">
        <f t="shared" si="3"/>
        <v>1101021009</v>
      </c>
      <c r="J58" s="8" t="str">
        <f t="shared" si="4"/>
        <v>ACEH</v>
      </c>
      <c r="K58" s="8" t="str">
        <f t="shared" si="5"/>
        <v>SIMEULUE</v>
      </c>
      <c r="L58" s="8" t="str">
        <f t="shared" si="6"/>
        <v>TEUPAH BARAT</v>
      </c>
      <c r="M58" s="8" t="str">
        <f t="shared" si="7"/>
        <v>SALUR LASENGALU</v>
      </c>
      <c r="N58" s="8">
        <f t="shared" si="8"/>
        <v>519</v>
      </c>
    </row>
    <row r="59" spans="1:14" ht="15.95" customHeight="1" x14ac:dyDescent="0.25">
      <c r="A59" s="1" t="s">
        <v>4</v>
      </c>
      <c r="B59" s="1" t="s">
        <v>5</v>
      </c>
      <c r="C59" s="3" t="s">
        <v>56</v>
      </c>
      <c r="D59" s="1" t="s">
        <v>66</v>
      </c>
      <c r="E59" s="2">
        <v>169</v>
      </c>
      <c r="F59" s="8" t="str">
        <f t="shared" si="0"/>
        <v>11</v>
      </c>
      <c r="G59" s="8" t="str">
        <f t="shared" si="1"/>
        <v>1101</v>
      </c>
      <c r="H59" s="8" t="str">
        <f t="shared" si="2"/>
        <v>1101021</v>
      </c>
      <c r="I59" s="8" t="str">
        <f t="shared" si="3"/>
        <v>1101021010</v>
      </c>
      <c r="J59" s="8" t="str">
        <f t="shared" si="4"/>
        <v>ACEH</v>
      </c>
      <c r="K59" s="8" t="str">
        <f t="shared" si="5"/>
        <v>SIMEULUE</v>
      </c>
      <c r="L59" s="8" t="str">
        <f t="shared" si="6"/>
        <v>TEUPAH BARAT</v>
      </c>
      <c r="M59" s="8" t="str">
        <f t="shared" si="7"/>
        <v>NANCALA</v>
      </c>
      <c r="N59" s="8">
        <f t="shared" si="8"/>
        <v>169</v>
      </c>
    </row>
    <row r="60" spans="1:14" ht="15.95" customHeight="1" x14ac:dyDescent="0.25">
      <c r="A60" s="1" t="s">
        <v>4</v>
      </c>
      <c r="B60" s="1" t="s">
        <v>5</v>
      </c>
      <c r="C60" s="3" t="s">
        <v>56</v>
      </c>
      <c r="D60" s="1" t="s">
        <v>67</v>
      </c>
      <c r="E60" s="2">
        <v>526</v>
      </c>
      <c r="F60" s="8" t="str">
        <f t="shared" si="0"/>
        <v>11</v>
      </c>
      <c r="G60" s="8" t="str">
        <f t="shared" si="1"/>
        <v>1101</v>
      </c>
      <c r="H60" s="8" t="str">
        <f t="shared" si="2"/>
        <v>1101021</v>
      </c>
      <c r="I60" s="8" t="str">
        <f t="shared" si="3"/>
        <v>1101021011</v>
      </c>
      <c r="J60" s="8" t="str">
        <f t="shared" si="4"/>
        <v>ACEH</v>
      </c>
      <c r="K60" s="8" t="str">
        <f t="shared" si="5"/>
        <v>SIMEULUE</v>
      </c>
      <c r="L60" s="8" t="str">
        <f t="shared" si="6"/>
        <v>TEUPAH BARAT</v>
      </c>
      <c r="M60" s="8" t="str">
        <f t="shared" si="7"/>
        <v>MAUDIL</v>
      </c>
      <c r="N60" s="8">
        <f t="shared" si="8"/>
        <v>526</v>
      </c>
    </row>
    <row r="61" spans="1:14" ht="15.95" customHeight="1" x14ac:dyDescent="0.25">
      <c r="A61" s="1" t="s">
        <v>4</v>
      </c>
      <c r="B61" s="1" t="s">
        <v>5</v>
      </c>
      <c r="C61" s="3" t="s">
        <v>56</v>
      </c>
      <c r="D61" s="1" t="s">
        <v>68</v>
      </c>
      <c r="E61" s="2">
        <v>497</v>
      </c>
      <c r="F61" s="8" t="str">
        <f t="shared" si="0"/>
        <v>11</v>
      </c>
      <c r="G61" s="8" t="str">
        <f t="shared" si="1"/>
        <v>1101</v>
      </c>
      <c r="H61" s="8" t="str">
        <f t="shared" si="2"/>
        <v>1101021</v>
      </c>
      <c r="I61" s="8" t="str">
        <f t="shared" si="3"/>
        <v>1101021012</v>
      </c>
      <c r="J61" s="8" t="str">
        <f t="shared" si="4"/>
        <v>ACEH</v>
      </c>
      <c r="K61" s="8" t="str">
        <f t="shared" si="5"/>
        <v>SIMEULUE</v>
      </c>
      <c r="L61" s="8" t="str">
        <f t="shared" si="6"/>
        <v>TEUPAH BARAT</v>
      </c>
      <c r="M61" s="8" t="str">
        <f t="shared" si="7"/>
        <v>INOR</v>
      </c>
      <c r="N61" s="8">
        <f t="shared" si="8"/>
        <v>497</v>
      </c>
    </row>
    <row r="62" spans="1:14" ht="15.95" customHeight="1" x14ac:dyDescent="0.25">
      <c r="A62" s="1" t="s">
        <v>4</v>
      </c>
      <c r="B62" s="1" t="s">
        <v>5</v>
      </c>
      <c r="C62" s="3" t="s">
        <v>56</v>
      </c>
      <c r="D62" s="1" t="s">
        <v>69</v>
      </c>
      <c r="E62" s="2">
        <v>272</v>
      </c>
      <c r="F62" s="8" t="str">
        <f t="shared" si="0"/>
        <v>11</v>
      </c>
      <c r="G62" s="8" t="str">
        <f t="shared" si="1"/>
        <v>1101</v>
      </c>
      <c r="H62" s="8" t="str">
        <f t="shared" si="2"/>
        <v>1101021</v>
      </c>
      <c r="I62" s="8" t="str">
        <f t="shared" si="3"/>
        <v>1101021013</v>
      </c>
      <c r="J62" s="8" t="str">
        <f t="shared" si="4"/>
        <v>ACEH</v>
      </c>
      <c r="K62" s="8" t="str">
        <f t="shared" si="5"/>
        <v>SIMEULUE</v>
      </c>
      <c r="L62" s="8" t="str">
        <f t="shared" si="6"/>
        <v>TEUPAH BARAT</v>
      </c>
      <c r="M62" s="8" t="str">
        <f t="shared" si="7"/>
        <v>NAIBOS</v>
      </c>
      <c r="N62" s="8">
        <f t="shared" si="8"/>
        <v>272</v>
      </c>
    </row>
    <row r="63" spans="1:14" ht="15.95" customHeight="1" x14ac:dyDescent="0.25">
      <c r="A63" s="1" t="s">
        <v>4</v>
      </c>
      <c r="B63" s="1" t="s">
        <v>5</v>
      </c>
      <c r="C63" s="3" t="s">
        <v>56</v>
      </c>
      <c r="D63" s="1" t="s">
        <v>70</v>
      </c>
      <c r="E63" s="2">
        <v>225</v>
      </c>
      <c r="F63" s="8" t="str">
        <f t="shared" si="0"/>
        <v>11</v>
      </c>
      <c r="G63" s="8" t="str">
        <f t="shared" si="1"/>
        <v>1101</v>
      </c>
      <c r="H63" s="8" t="str">
        <f t="shared" si="2"/>
        <v>1101021</v>
      </c>
      <c r="I63" s="8" t="str">
        <f t="shared" si="3"/>
        <v>1101021014</v>
      </c>
      <c r="J63" s="8" t="str">
        <f t="shared" si="4"/>
        <v>ACEH</v>
      </c>
      <c r="K63" s="8" t="str">
        <f t="shared" si="5"/>
        <v>SIMEULUE</v>
      </c>
      <c r="L63" s="8" t="str">
        <f t="shared" si="6"/>
        <v>TEUPAH BARAT</v>
      </c>
      <c r="M63" s="8" t="str">
        <f t="shared" si="7"/>
        <v>LAAYON</v>
      </c>
      <c r="N63" s="8">
        <f t="shared" si="8"/>
        <v>225</v>
      </c>
    </row>
    <row r="64" spans="1:14" ht="15.95" customHeight="1" x14ac:dyDescent="0.25">
      <c r="A64" s="1" t="s">
        <v>4</v>
      </c>
      <c r="B64" s="1" t="s">
        <v>5</v>
      </c>
      <c r="C64" s="3" t="s">
        <v>56</v>
      </c>
      <c r="D64" s="1" t="s">
        <v>71</v>
      </c>
      <c r="E64" s="2">
        <v>423</v>
      </c>
      <c r="F64" s="8" t="str">
        <f t="shared" si="0"/>
        <v>11</v>
      </c>
      <c r="G64" s="8" t="str">
        <f t="shared" si="1"/>
        <v>1101</v>
      </c>
      <c r="H64" s="8" t="str">
        <f t="shared" si="2"/>
        <v>1101021</v>
      </c>
      <c r="I64" s="8" t="str">
        <f t="shared" si="3"/>
        <v>1101021015</v>
      </c>
      <c r="J64" s="8" t="str">
        <f t="shared" si="4"/>
        <v>ACEH</v>
      </c>
      <c r="K64" s="8" t="str">
        <f t="shared" si="5"/>
        <v>SIMEULUE</v>
      </c>
      <c r="L64" s="8" t="str">
        <f t="shared" si="6"/>
        <v>TEUPAH BARAT</v>
      </c>
      <c r="M64" s="8" t="str">
        <f t="shared" si="7"/>
        <v>ANGKEO</v>
      </c>
      <c r="N64" s="8">
        <f t="shared" si="8"/>
        <v>423</v>
      </c>
    </row>
    <row r="65" spans="1:14" ht="15.95" customHeight="1" x14ac:dyDescent="0.25">
      <c r="A65" s="1" t="s">
        <v>4</v>
      </c>
      <c r="B65" s="1" t="s">
        <v>5</v>
      </c>
      <c r="C65" s="3" t="s">
        <v>56</v>
      </c>
      <c r="D65" s="1" t="s">
        <v>72</v>
      </c>
      <c r="E65" s="2">
        <v>287</v>
      </c>
      <c r="F65" s="8" t="str">
        <f t="shared" si="0"/>
        <v>11</v>
      </c>
      <c r="G65" s="8" t="str">
        <f t="shared" si="1"/>
        <v>1101</v>
      </c>
      <c r="H65" s="8" t="str">
        <f t="shared" si="2"/>
        <v>1101021</v>
      </c>
      <c r="I65" s="8" t="str">
        <f t="shared" si="3"/>
        <v>1101021016</v>
      </c>
      <c r="J65" s="8" t="str">
        <f t="shared" si="4"/>
        <v>ACEH</v>
      </c>
      <c r="K65" s="8" t="str">
        <f t="shared" si="5"/>
        <v>SIMEULUE</v>
      </c>
      <c r="L65" s="8" t="str">
        <f t="shared" si="6"/>
        <v>TEUPAH BARAT</v>
      </c>
      <c r="M65" s="8" t="str">
        <f t="shared" si="7"/>
        <v>BUNON</v>
      </c>
      <c r="N65" s="8">
        <f t="shared" si="8"/>
        <v>287</v>
      </c>
    </row>
    <row r="66" spans="1:14" ht="15.95" customHeight="1" x14ac:dyDescent="0.25">
      <c r="A66" s="1" t="s">
        <v>4</v>
      </c>
      <c r="B66" s="1" t="s">
        <v>5</v>
      </c>
      <c r="C66" s="3" t="s">
        <v>56</v>
      </c>
      <c r="D66" s="1" t="s">
        <v>73</v>
      </c>
      <c r="E66" s="2">
        <v>395</v>
      </c>
      <c r="F66" s="8" t="str">
        <f t="shared" si="0"/>
        <v>11</v>
      </c>
      <c r="G66" s="8" t="str">
        <f t="shared" si="1"/>
        <v>1101</v>
      </c>
      <c r="H66" s="8" t="str">
        <f t="shared" si="2"/>
        <v>1101021</v>
      </c>
      <c r="I66" s="8" t="str">
        <f t="shared" si="3"/>
        <v>1101021017</v>
      </c>
      <c r="J66" s="8" t="str">
        <f t="shared" si="4"/>
        <v>ACEH</v>
      </c>
      <c r="K66" s="8" t="str">
        <f t="shared" si="5"/>
        <v>SIMEULUE</v>
      </c>
      <c r="L66" s="8" t="str">
        <f t="shared" si="6"/>
        <v>TEUPAH BARAT</v>
      </c>
      <c r="M66" s="8" t="str">
        <f t="shared" si="7"/>
        <v>SILENGAS</v>
      </c>
      <c r="N66" s="8">
        <f t="shared" si="8"/>
        <v>395</v>
      </c>
    </row>
    <row r="67" spans="1:14" ht="15.95" customHeight="1" x14ac:dyDescent="0.25">
      <c r="A67" s="1" t="s">
        <v>4</v>
      </c>
      <c r="B67" s="1" t="s">
        <v>5</v>
      </c>
      <c r="C67" s="3" t="s">
        <v>56</v>
      </c>
      <c r="D67" s="1" t="s">
        <v>74</v>
      </c>
      <c r="E67" s="2">
        <v>254</v>
      </c>
      <c r="F67" s="8" t="str">
        <f t="shared" ref="F67:F113" si="9">MID(A67,2,2)</f>
        <v>11</v>
      </c>
      <c r="G67" s="8" t="str">
        <f t="shared" ref="G67:G113" si="10">CONCATENATE(F67,MID(B67,2,2))</f>
        <v>1101</v>
      </c>
      <c r="H67" s="8" t="str">
        <f t="shared" ref="H67:H113" si="11">CONCATENATE(G67,MID(C67,2,3))</f>
        <v>1101021</v>
      </c>
      <c r="I67" s="8" t="str">
        <f t="shared" ref="I67:I113" si="12">CONCATENATE(H67,MID(D67,2,3))</f>
        <v>1101021018</v>
      </c>
      <c r="J67" s="8" t="str">
        <f t="shared" ref="J67:J113" si="13">MID(A67,6,50)</f>
        <v>ACEH</v>
      </c>
      <c r="K67" s="8" t="str">
        <f t="shared" ref="K67:K113" si="14">MID(B67,6,50)</f>
        <v>SIMEULUE</v>
      </c>
      <c r="L67" s="8" t="str">
        <f t="shared" ref="L67:L113" si="15">MID(C67,7,50)</f>
        <v>TEUPAH BARAT</v>
      </c>
      <c r="M67" s="8" t="str">
        <f t="shared" ref="M67:M113" si="16">MID(D67,7,50)</f>
        <v>PULAU TEUPAH</v>
      </c>
      <c r="N67" s="8">
        <f t="shared" ref="N67:N113" si="17">E67</f>
        <v>254</v>
      </c>
    </row>
    <row r="68" spans="1:14" ht="15.95" customHeight="1" x14ac:dyDescent="0.25">
      <c r="A68" s="1" t="s">
        <v>4</v>
      </c>
      <c r="B68" s="1" t="s">
        <v>5</v>
      </c>
      <c r="C68" s="3" t="s">
        <v>75</v>
      </c>
      <c r="D68" s="3" t="s">
        <v>76</v>
      </c>
      <c r="E68" s="4">
        <v>332</v>
      </c>
      <c r="F68" s="8" t="str">
        <f t="shared" si="9"/>
        <v>11</v>
      </c>
      <c r="G68" s="8" t="str">
        <f t="shared" si="10"/>
        <v>1101</v>
      </c>
      <c r="H68" s="8" t="str">
        <f t="shared" si="11"/>
        <v>1101030</v>
      </c>
      <c r="I68" s="8" t="str">
        <f t="shared" si="12"/>
        <v>1101030001</v>
      </c>
      <c r="J68" s="8" t="str">
        <f t="shared" si="13"/>
        <v>ACEH</v>
      </c>
      <c r="K68" s="8" t="str">
        <f t="shared" si="14"/>
        <v>SIMEULUE</v>
      </c>
      <c r="L68" s="8" t="str">
        <f t="shared" si="15"/>
        <v>SIMEULUE TENGAH</v>
      </c>
      <c r="M68" s="8" t="str">
        <f t="shared" si="16"/>
        <v>DIHIT</v>
      </c>
      <c r="N68" s="8">
        <f t="shared" si="17"/>
        <v>332</v>
      </c>
    </row>
    <row r="69" spans="1:14" ht="15.95" customHeight="1" x14ac:dyDescent="0.25">
      <c r="A69" s="1" t="s">
        <v>4</v>
      </c>
      <c r="B69" s="1" t="s">
        <v>5</v>
      </c>
      <c r="C69" s="3" t="s">
        <v>75</v>
      </c>
      <c r="D69" s="1" t="s">
        <v>77</v>
      </c>
      <c r="E69" s="2">
        <v>635</v>
      </c>
      <c r="F69" s="8" t="str">
        <f t="shared" si="9"/>
        <v>11</v>
      </c>
      <c r="G69" s="8" t="str">
        <f t="shared" si="10"/>
        <v>1101</v>
      </c>
      <c r="H69" s="8" t="str">
        <f t="shared" si="11"/>
        <v>1101030</v>
      </c>
      <c r="I69" s="8" t="str">
        <f t="shared" si="12"/>
        <v>1101030002</v>
      </c>
      <c r="J69" s="8" t="str">
        <f t="shared" si="13"/>
        <v>ACEH</v>
      </c>
      <c r="K69" s="8" t="str">
        <f t="shared" si="14"/>
        <v>SIMEULUE</v>
      </c>
      <c r="L69" s="8" t="str">
        <f t="shared" si="15"/>
        <v>SIMEULUE TENGAH</v>
      </c>
      <c r="M69" s="8" t="str">
        <f t="shared" si="16"/>
        <v>LAUKE</v>
      </c>
      <c r="N69" s="8">
        <f t="shared" si="17"/>
        <v>635</v>
      </c>
    </row>
    <row r="70" spans="1:14" ht="15.95" customHeight="1" x14ac:dyDescent="0.25">
      <c r="A70" s="1" t="s">
        <v>4</v>
      </c>
      <c r="B70" s="1" t="s">
        <v>5</v>
      </c>
      <c r="C70" s="3" t="s">
        <v>75</v>
      </c>
      <c r="D70" s="1" t="s">
        <v>78</v>
      </c>
      <c r="E70" s="2">
        <v>517</v>
      </c>
      <c r="F70" s="8" t="str">
        <f t="shared" si="9"/>
        <v>11</v>
      </c>
      <c r="G70" s="8" t="str">
        <f t="shared" si="10"/>
        <v>1101</v>
      </c>
      <c r="H70" s="8" t="str">
        <f t="shared" si="11"/>
        <v>1101030</v>
      </c>
      <c r="I70" s="8" t="str">
        <f t="shared" si="12"/>
        <v>1101030003</v>
      </c>
      <c r="J70" s="8" t="str">
        <f t="shared" si="13"/>
        <v>ACEH</v>
      </c>
      <c r="K70" s="8" t="str">
        <f t="shared" si="14"/>
        <v>SIMEULUE</v>
      </c>
      <c r="L70" s="8" t="str">
        <f t="shared" si="15"/>
        <v>SIMEULUE TENGAH</v>
      </c>
      <c r="M70" s="8" t="str">
        <f t="shared" si="16"/>
        <v>LAMBAYA</v>
      </c>
      <c r="N70" s="8">
        <f t="shared" si="17"/>
        <v>517</v>
      </c>
    </row>
    <row r="71" spans="1:14" ht="15.95" customHeight="1" x14ac:dyDescent="0.25">
      <c r="A71" s="1" t="s">
        <v>4</v>
      </c>
      <c r="B71" s="1" t="s">
        <v>5</v>
      </c>
      <c r="C71" s="3" t="s">
        <v>75</v>
      </c>
      <c r="D71" s="1" t="s">
        <v>79</v>
      </c>
      <c r="E71" s="2">
        <v>335</v>
      </c>
      <c r="F71" s="8" t="str">
        <f t="shared" si="9"/>
        <v>11</v>
      </c>
      <c r="G71" s="8" t="str">
        <f t="shared" si="10"/>
        <v>1101</v>
      </c>
      <c r="H71" s="8" t="str">
        <f t="shared" si="11"/>
        <v>1101030</v>
      </c>
      <c r="I71" s="8" t="str">
        <f t="shared" si="12"/>
        <v>1101030004</v>
      </c>
      <c r="J71" s="8" t="str">
        <f t="shared" si="13"/>
        <v>ACEH</v>
      </c>
      <c r="K71" s="8" t="str">
        <f t="shared" si="14"/>
        <v>SIMEULUE</v>
      </c>
      <c r="L71" s="8" t="str">
        <f t="shared" si="15"/>
        <v>SIMEULUE TENGAH</v>
      </c>
      <c r="M71" s="8" t="str">
        <f t="shared" si="16"/>
        <v>LAKUBANG</v>
      </c>
      <c r="N71" s="8">
        <f t="shared" si="17"/>
        <v>335</v>
      </c>
    </row>
    <row r="72" spans="1:14" ht="15.95" customHeight="1" x14ac:dyDescent="0.25">
      <c r="A72" s="1" t="s">
        <v>4</v>
      </c>
      <c r="B72" s="1" t="s">
        <v>5</v>
      </c>
      <c r="C72" s="3" t="s">
        <v>75</v>
      </c>
      <c r="D72" s="1" t="s">
        <v>80</v>
      </c>
      <c r="E72" s="5">
        <v>1639</v>
      </c>
      <c r="F72" s="8" t="str">
        <f t="shared" si="9"/>
        <v>11</v>
      </c>
      <c r="G72" s="8" t="str">
        <f t="shared" si="10"/>
        <v>1101</v>
      </c>
      <c r="H72" s="8" t="str">
        <f t="shared" si="11"/>
        <v>1101030</v>
      </c>
      <c r="I72" s="8" t="str">
        <f t="shared" si="12"/>
        <v>1101030005</v>
      </c>
      <c r="J72" s="8" t="str">
        <f t="shared" si="13"/>
        <v>ACEH</v>
      </c>
      <c r="K72" s="8" t="str">
        <f t="shared" si="14"/>
        <v>SIMEULUE</v>
      </c>
      <c r="L72" s="8" t="str">
        <f t="shared" si="15"/>
        <v>SIMEULUE TENGAH</v>
      </c>
      <c r="M72" s="8" t="str">
        <f t="shared" si="16"/>
        <v>KAMPUNG AIE</v>
      </c>
      <c r="N72" s="8">
        <f t="shared" si="17"/>
        <v>1639</v>
      </c>
    </row>
    <row r="73" spans="1:14" ht="15.95" customHeight="1" x14ac:dyDescent="0.25">
      <c r="A73" s="1" t="s">
        <v>4</v>
      </c>
      <c r="B73" s="1" t="s">
        <v>5</v>
      </c>
      <c r="C73" s="3" t="s">
        <v>75</v>
      </c>
      <c r="D73" s="1" t="s">
        <v>81</v>
      </c>
      <c r="E73" s="2">
        <v>138</v>
      </c>
      <c r="F73" s="8" t="str">
        <f t="shared" si="9"/>
        <v>11</v>
      </c>
      <c r="G73" s="8" t="str">
        <f t="shared" si="10"/>
        <v>1101</v>
      </c>
      <c r="H73" s="8" t="str">
        <f t="shared" si="11"/>
        <v>1101030</v>
      </c>
      <c r="I73" s="8" t="str">
        <f t="shared" si="12"/>
        <v>1101030006</v>
      </c>
      <c r="J73" s="8" t="str">
        <f t="shared" si="13"/>
        <v>ACEH</v>
      </c>
      <c r="K73" s="8" t="str">
        <f t="shared" si="14"/>
        <v>SIMEULUE</v>
      </c>
      <c r="L73" s="8" t="str">
        <f t="shared" si="15"/>
        <v>SIMEULUE TENGAH</v>
      </c>
      <c r="M73" s="8" t="str">
        <f t="shared" si="16"/>
        <v>LAUREE</v>
      </c>
      <c r="N73" s="8">
        <f t="shared" si="17"/>
        <v>138</v>
      </c>
    </row>
    <row r="74" spans="1:14" ht="15.95" customHeight="1" x14ac:dyDescent="0.25">
      <c r="A74" s="1" t="s">
        <v>4</v>
      </c>
      <c r="B74" s="1" t="s">
        <v>5</v>
      </c>
      <c r="C74" s="3" t="s">
        <v>75</v>
      </c>
      <c r="D74" s="1" t="s">
        <v>82</v>
      </c>
      <c r="E74" s="2">
        <v>146</v>
      </c>
      <c r="F74" s="8" t="str">
        <f t="shared" si="9"/>
        <v>11</v>
      </c>
      <c r="G74" s="8" t="str">
        <f t="shared" si="10"/>
        <v>1101</v>
      </c>
      <c r="H74" s="8" t="str">
        <f t="shared" si="11"/>
        <v>1101030</v>
      </c>
      <c r="I74" s="8" t="str">
        <f t="shared" si="12"/>
        <v>1101030007</v>
      </c>
      <c r="J74" s="8" t="str">
        <f t="shared" si="13"/>
        <v>ACEH</v>
      </c>
      <c r="K74" s="8" t="str">
        <f t="shared" si="14"/>
        <v>SIMEULUE</v>
      </c>
      <c r="L74" s="8" t="str">
        <f t="shared" si="15"/>
        <v>SIMEULUE TENGAH</v>
      </c>
      <c r="M74" s="8" t="str">
        <f t="shared" si="16"/>
        <v>LATITIK</v>
      </c>
      <c r="N74" s="8">
        <f t="shared" si="17"/>
        <v>146</v>
      </c>
    </row>
    <row r="75" spans="1:14" ht="15.95" customHeight="1" x14ac:dyDescent="0.25">
      <c r="A75" s="1" t="s">
        <v>4</v>
      </c>
      <c r="B75" s="1" t="s">
        <v>5</v>
      </c>
      <c r="C75" s="3" t="s">
        <v>75</v>
      </c>
      <c r="D75" s="1" t="s">
        <v>83</v>
      </c>
      <c r="E75" s="2">
        <v>145</v>
      </c>
      <c r="F75" s="8" t="str">
        <f t="shared" si="9"/>
        <v>11</v>
      </c>
      <c r="G75" s="8" t="str">
        <f t="shared" si="10"/>
        <v>1101</v>
      </c>
      <c r="H75" s="8" t="str">
        <f t="shared" si="11"/>
        <v>1101030</v>
      </c>
      <c r="I75" s="8" t="str">
        <f t="shared" si="12"/>
        <v>1101030008</v>
      </c>
      <c r="J75" s="8" t="str">
        <f t="shared" si="13"/>
        <v>ACEH</v>
      </c>
      <c r="K75" s="8" t="str">
        <f t="shared" si="14"/>
        <v>SIMEULUE</v>
      </c>
      <c r="L75" s="8" t="str">
        <f t="shared" si="15"/>
        <v>SIMEULUE TENGAH</v>
      </c>
      <c r="M75" s="8" t="str">
        <f t="shared" si="16"/>
        <v>LAMAYANG</v>
      </c>
      <c r="N75" s="8">
        <f t="shared" si="17"/>
        <v>145</v>
      </c>
    </row>
    <row r="76" spans="1:14" ht="15.95" customHeight="1" x14ac:dyDescent="0.25">
      <c r="A76" s="1" t="s">
        <v>4</v>
      </c>
      <c r="B76" s="1" t="s">
        <v>5</v>
      </c>
      <c r="C76" s="3" t="s">
        <v>75</v>
      </c>
      <c r="D76" s="1" t="s">
        <v>84</v>
      </c>
      <c r="E76" s="2">
        <v>297</v>
      </c>
      <c r="F76" s="8" t="str">
        <f t="shared" si="9"/>
        <v>11</v>
      </c>
      <c r="G76" s="8" t="str">
        <f t="shared" si="10"/>
        <v>1101</v>
      </c>
      <c r="H76" s="8" t="str">
        <f t="shared" si="11"/>
        <v>1101030</v>
      </c>
      <c r="I76" s="8" t="str">
        <f t="shared" si="12"/>
        <v>1101030009</v>
      </c>
      <c r="J76" s="8" t="str">
        <f t="shared" si="13"/>
        <v>ACEH</v>
      </c>
      <c r="K76" s="8" t="str">
        <f t="shared" si="14"/>
        <v>SIMEULUE</v>
      </c>
      <c r="L76" s="8" t="str">
        <f t="shared" si="15"/>
        <v>SIMEULUE TENGAH</v>
      </c>
      <c r="M76" s="8" t="str">
        <f t="shared" si="16"/>
        <v>WEL WEL</v>
      </c>
      <c r="N76" s="8">
        <f t="shared" si="17"/>
        <v>297</v>
      </c>
    </row>
    <row r="77" spans="1:14" ht="15.95" customHeight="1" x14ac:dyDescent="0.25">
      <c r="A77" s="1" t="s">
        <v>4</v>
      </c>
      <c r="B77" s="1" t="s">
        <v>5</v>
      </c>
      <c r="C77" s="3" t="s">
        <v>75</v>
      </c>
      <c r="D77" s="1" t="s">
        <v>85</v>
      </c>
      <c r="E77" s="2">
        <v>300</v>
      </c>
      <c r="F77" s="8" t="str">
        <f t="shared" si="9"/>
        <v>11</v>
      </c>
      <c r="G77" s="8" t="str">
        <f t="shared" si="10"/>
        <v>1101</v>
      </c>
      <c r="H77" s="8" t="str">
        <f t="shared" si="11"/>
        <v>1101030</v>
      </c>
      <c r="I77" s="8" t="str">
        <f t="shared" si="12"/>
        <v>1101030010</v>
      </c>
      <c r="J77" s="8" t="str">
        <f t="shared" si="13"/>
        <v>ACEH</v>
      </c>
      <c r="K77" s="8" t="str">
        <f t="shared" si="14"/>
        <v>SIMEULUE</v>
      </c>
      <c r="L77" s="8" t="str">
        <f t="shared" si="15"/>
        <v>SIMEULUE TENGAH</v>
      </c>
      <c r="M77" s="8" t="str">
        <f t="shared" si="16"/>
        <v>BUBUHAN</v>
      </c>
      <c r="N77" s="8">
        <f t="shared" si="17"/>
        <v>300</v>
      </c>
    </row>
    <row r="78" spans="1:14" ht="15.95" customHeight="1" x14ac:dyDescent="0.25">
      <c r="A78" s="1" t="s">
        <v>4</v>
      </c>
      <c r="B78" s="1" t="s">
        <v>5</v>
      </c>
      <c r="C78" s="3" t="s">
        <v>75</v>
      </c>
      <c r="D78" s="1" t="s">
        <v>86</v>
      </c>
      <c r="E78" s="2">
        <v>487</v>
      </c>
      <c r="F78" s="8" t="str">
        <f t="shared" si="9"/>
        <v>11</v>
      </c>
      <c r="G78" s="8" t="str">
        <f t="shared" si="10"/>
        <v>1101</v>
      </c>
      <c r="H78" s="8" t="str">
        <f t="shared" si="11"/>
        <v>1101030</v>
      </c>
      <c r="I78" s="8" t="str">
        <f t="shared" si="12"/>
        <v>1101030011</v>
      </c>
      <c r="J78" s="8" t="str">
        <f t="shared" si="13"/>
        <v>ACEH</v>
      </c>
      <c r="K78" s="8" t="str">
        <f t="shared" si="14"/>
        <v>SIMEULUE</v>
      </c>
      <c r="L78" s="8" t="str">
        <f t="shared" si="15"/>
        <v>SIMEULUE TENGAH</v>
      </c>
      <c r="M78" s="8" t="str">
        <f t="shared" si="16"/>
        <v>AMARABU</v>
      </c>
      <c r="N78" s="8">
        <f t="shared" si="17"/>
        <v>487</v>
      </c>
    </row>
    <row r="79" spans="1:14" ht="15.95" customHeight="1" x14ac:dyDescent="0.25">
      <c r="A79" s="1" t="s">
        <v>4</v>
      </c>
      <c r="B79" s="1" t="s">
        <v>5</v>
      </c>
      <c r="C79" s="3" t="s">
        <v>75</v>
      </c>
      <c r="D79" s="1" t="s">
        <v>87</v>
      </c>
      <c r="E79" s="2">
        <v>351</v>
      </c>
      <c r="F79" s="8" t="str">
        <f t="shared" si="9"/>
        <v>11</v>
      </c>
      <c r="G79" s="8" t="str">
        <f t="shared" si="10"/>
        <v>1101</v>
      </c>
      <c r="H79" s="8" t="str">
        <f t="shared" si="11"/>
        <v>1101030</v>
      </c>
      <c r="I79" s="8" t="str">
        <f t="shared" si="12"/>
        <v>1101030012</v>
      </c>
      <c r="J79" s="8" t="str">
        <f t="shared" si="13"/>
        <v>ACEH</v>
      </c>
      <c r="K79" s="8" t="str">
        <f t="shared" si="14"/>
        <v>SIMEULUE</v>
      </c>
      <c r="L79" s="8" t="str">
        <f t="shared" si="15"/>
        <v>SIMEULUE TENGAH</v>
      </c>
      <c r="M79" s="8" t="str">
        <f t="shared" si="16"/>
        <v>KUTA INANG</v>
      </c>
      <c r="N79" s="8">
        <f t="shared" si="17"/>
        <v>351</v>
      </c>
    </row>
    <row r="80" spans="1:14" ht="15.95" customHeight="1" x14ac:dyDescent="0.25">
      <c r="A80" s="1" t="s">
        <v>4</v>
      </c>
      <c r="B80" s="1" t="s">
        <v>5</v>
      </c>
      <c r="C80" s="3" t="s">
        <v>75</v>
      </c>
      <c r="D80" s="1" t="s">
        <v>88</v>
      </c>
      <c r="E80" s="2">
        <v>418</v>
      </c>
      <c r="F80" s="8" t="str">
        <f t="shared" si="9"/>
        <v>11</v>
      </c>
      <c r="G80" s="8" t="str">
        <f t="shared" si="10"/>
        <v>1101</v>
      </c>
      <c r="H80" s="8" t="str">
        <f t="shared" si="11"/>
        <v>1101030</v>
      </c>
      <c r="I80" s="8" t="str">
        <f t="shared" si="12"/>
        <v>1101030013</v>
      </c>
      <c r="J80" s="8" t="str">
        <f t="shared" si="13"/>
        <v>ACEH</v>
      </c>
      <c r="K80" s="8" t="str">
        <f t="shared" si="14"/>
        <v>SIMEULUE</v>
      </c>
      <c r="L80" s="8" t="str">
        <f t="shared" si="15"/>
        <v>SIMEULUE TENGAH</v>
      </c>
      <c r="M80" s="8" t="str">
        <f t="shared" si="16"/>
        <v>KUTA PADANG</v>
      </c>
      <c r="N80" s="8">
        <f t="shared" si="17"/>
        <v>418</v>
      </c>
    </row>
    <row r="81" spans="1:14" ht="15.95" customHeight="1" x14ac:dyDescent="0.25">
      <c r="A81" s="1" t="s">
        <v>4</v>
      </c>
      <c r="B81" s="1" t="s">
        <v>5</v>
      </c>
      <c r="C81" s="3" t="s">
        <v>75</v>
      </c>
      <c r="D81" s="1" t="s">
        <v>89</v>
      </c>
      <c r="E81" s="2">
        <v>330</v>
      </c>
      <c r="F81" s="8" t="str">
        <f t="shared" si="9"/>
        <v>11</v>
      </c>
      <c r="G81" s="8" t="str">
        <f t="shared" si="10"/>
        <v>1101</v>
      </c>
      <c r="H81" s="8" t="str">
        <f t="shared" si="11"/>
        <v>1101030</v>
      </c>
      <c r="I81" s="8" t="str">
        <f t="shared" si="12"/>
        <v>1101030014</v>
      </c>
      <c r="J81" s="8" t="str">
        <f t="shared" si="13"/>
        <v>ACEH</v>
      </c>
      <c r="K81" s="8" t="str">
        <f t="shared" si="14"/>
        <v>SIMEULUE</v>
      </c>
      <c r="L81" s="8" t="str">
        <f t="shared" si="15"/>
        <v>SIMEULUE TENGAH</v>
      </c>
      <c r="M81" s="8" t="str">
        <f t="shared" si="16"/>
        <v>LATAK AYAH</v>
      </c>
      <c r="N81" s="8">
        <f t="shared" si="17"/>
        <v>330</v>
      </c>
    </row>
    <row r="82" spans="1:14" ht="15.95" customHeight="1" x14ac:dyDescent="0.25">
      <c r="A82" s="1" t="s">
        <v>4</v>
      </c>
      <c r="B82" s="1" t="s">
        <v>5</v>
      </c>
      <c r="C82" s="3" t="s">
        <v>75</v>
      </c>
      <c r="D82" s="1" t="s">
        <v>90</v>
      </c>
      <c r="E82" s="2">
        <v>408</v>
      </c>
      <c r="F82" s="8" t="str">
        <f t="shared" si="9"/>
        <v>11</v>
      </c>
      <c r="G82" s="8" t="str">
        <f t="shared" si="10"/>
        <v>1101</v>
      </c>
      <c r="H82" s="8" t="str">
        <f t="shared" si="11"/>
        <v>1101030</v>
      </c>
      <c r="I82" s="8" t="str">
        <f t="shared" si="12"/>
        <v>1101030015</v>
      </c>
      <c r="J82" s="8" t="str">
        <f t="shared" si="13"/>
        <v>ACEH</v>
      </c>
      <c r="K82" s="8" t="str">
        <f t="shared" si="14"/>
        <v>SIMEULUE</v>
      </c>
      <c r="L82" s="8" t="str">
        <f t="shared" si="15"/>
        <v>SIMEULUE TENGAH</v>
      </c>
      <c r="M82" s="8" t="str">
        <f t="shared" si="16"/>
        <v>SIBULUH</v>
      </c>
      <c r="N82" s="8">
        <f t="shared" si="17"/>
        <v>408</v>
      </c>
    </row>
    <row r="83" spans="1:14" ht="15.95" customHeight="1" x14ac:dyDescent="0.25">
      <c r="A83" s="1" t="s">
        <v>4</v>
      </c>
      <c r="B83" s="1" t="s">
        <v>5</v>
      </c>
      <c r="C83" s="3" t="s">
        <v>75</v>
      </c>
      <c r="D83" s="1" t="s">
        <v>91</v>
      </c>
      <c r="E83" s="2">
        <v>321</v>
      </c>
      <c r="F83" s="8" t="str">
        <f t="shared" si="9"/>
        <v>11</v>
      </c>
      <c r="G83" s="8" t="str">
        <f t="shared" si="10"/>
        <v>1101</v>
      </c>
      <c r="H83" s="8" t="str">
        <f t="shared" si="11"/>
        <v>1101030</v>
      </c>
      <c r="I83" s="8" t="str">
        <f t="shared" si="12"/>
        <v>1101030016</v>
      </c>
      <c r="J83" s="8" t="str">
        <f t="shared" si="13"/>
        <v>ACEH</v>
      </c>
      <c r="K83" s="8" t="str">
        <f t="shared" si="14"/>
        <v>SIMEULUE</v>
      </c>
      <c r="L83" s="8" t="str">
        <f t="shared" si="15"/>
        <v>SIMEULUE TENGAH</v>
      </c>
      <c r="M83" s="8" t="str">
        <f t="shared" si="16"/>
        <v>BORENGAN</v>
      </c>
      <c r="N83" s="8">
        <f t="shared" si="17"/>
        <v>321</v>
      </c>
    </row>
    <row r="84" spans="1:14" ht="15.95" customHeight="1" x14ac:dyDescent="0.25">
      <c r="A84" s="1" t="s">
        <v>4</v>
      </c>
      <c r="B84" s="1" t="s">
        <v>5</v>
      </c>
      <c r="C84" s="3" t="s">
        <v>75</v>
      </c>
      <c r="D84" s="1" t="s">
        <v>92</v>
      </c>
      <c r="E84" s="2">
        <v>274</v>
      </c>
      <c r="F84" s="8" t="str">
        <f t="shared" si="9"/>
        <v>11</v>
      </c>
      <c r="G84" s="8" t="str">
        <f t="shared" si="10"/>
        <v>1101</v>
      </c>
      <c r="H84" s="8" t="str">
        <f t="shared" si="11"/>
        <v>1101030</v>
      </c>
      <c r="I84" s="8" t="str">
        <f t="shared" si="12"/>
        <v>1101030017</v>
      </c>
      <c r="J84" s="8" t="str">
        <f t="shared" si="13"/>
        <v>ACEH</v>
      </c>
      <c r="K84" s="8" t="str">
        <f t="shared" si="14"/>
        <v>SIMEULUE</v>
      </c>
      <c r="L84" s="8" t="str">
        <f t="shared" si="15"/>
        <v>SIMEULUE TENGAH</v>
      </c>
      <c r="M84" s="8" t="str">
        <f t="shared" si="16"/>
        <v>UJUNG PADANG</v>
      </c>
      <c r="N84" s="8">
        <f t="shared" si="17"/>
        <v>274</v>
      </c>
    </row>
    <row r="85" spans="1:14" ht="15.95" customHeight="1" x14ac:dyDescent="0.25">
      <c r="A85" s="1" t="s">
        <v>4</v>
      </c>
      <c r="B85" s="1" t="s">
        <v>5</v>
      </c>
      <c r="C85" s="3" t="s">
        <v>75</v>
      </c>
      <c r="D85" s="1" t="s">
        <v>93</v>
      </c>
      <c r="E85" s="2">
        <v>281</v>
      </c>
      <c r="F85" s="8" t="str">
        <f t="shared" si="9"/>
        <v>11</v>
      </c>
      <c r="G85" s="8" t="str">
        <f t="shared" si="10"/>
        <v>1101</v>
      </c>
      <c r="H85" s="8" t="str">
        <f t="shared" si="11"/>
        <v>1101030</v>
      </c>
      <c r="I85" s="8" t="str">
        <f t="shared" si="12"/>
        <v>1101030020</v>
      </c>
      <c r="J85" s="8" t="str">
        <f t="shared" si="13"/>
        <v>ACEH</v>
      </c>
      <c r="K85" s="8" t="str">
        <f t="shared" si="14"/>
        <v>SIMEULUE</v>
      </c>
      <c r="L85" s="8" t="str">
        <f t="shared" si="15"/>
        <v>SIMEULUE TENGAH</v>
      </c>
      <c r="M85" s="8" t="str">
        <f t="shared" si="16"/>
        <v>SITUFA JAYA</v>
      </c>
      <c r="N85" s="8">
        <f t="shared" si="17"/>
        <v>281</v>
      </c>
    </row>
    <row r="86" spans="1:14" ht="15.95" customHeight="1" x14ac:dyDescent="0.25">
      <c r="A86" s="1" t="s">
        <v>4</v>
      </c>
      <c r="B86" s="1" t="s">
        <v>5</v>
      </c>
      <c r="C86" s="3" t="s">
        <v>75</v>
      </c>
      <c r="D86" s="1" t="s">
        <v>94</v>
      </c>
      <c r="E86" s="2">
        <v>299</v>
      </c>
      <c r="F86" s="8" t="str">
        <f t="shared" si="9"/>
        <v>11</v>
      </c>
      <c r="G86" s="8" t="str">
        <f t="shared" si="10"/>
        <v>1101</v>
      </c>
      <c r="H86" s="8" t="str">
        <f t="shared" si="11"/>
        <v>1101030</v>
      </c>
      <c r="I86" s="8" t="str">
        <f t="shared" si="12"/>
        <v>1101030021</v>
      </c>
      <c r="J86" s="8" t="str">
        <f t="shared" si="13"/>
        <v>ACEH</v>
      </c>
      <c r="K86" s="8" t="str">
        <f t="shared" si="14"/>
        <v>SIMEULUE</v>
      </c>
      <c r="L86" s="8" t="str">
        <f t="shared" si="15"/>
        <v>SIMEULUE TENGAH</v>
      </c>
      <c r="M86" s="8" t="str">
        <f t="shared" si="16"/>
        <v>PUTRA JAYA</v>
      </c>
      <c r="N86" s="8">
        <f t="shared" si="17"/>
        <v>299</v>
      </c>
    </row>
    <row r="87" spans="1:14" ht="15.95" customHeight="1" x14ac:dyDescent="0.25">
      <c r="A87" s="1" t="s">
        <v>4</v>
      </c>
      <c r="B87" s="1" t="s">
        <v>5</v>
      </c>
      <c r="C87" s="3" t="s">
        <v>75</v>
      </c>
      <c r="D87" s="1" t="s">
        <v>95</v>
      </c>
      <c r="E87" s="2">
        <v>474</v>
      </c>
      <c r="F87" s="8" t="str">
        <f t="shared" si="9"/>
        <v>11</v>
      </c>
      <c r="G87" s="8" t="str">
        <f t="shared" si="10"/>
        <v>1101</v>
      </c>
      <c r="H87" s="8" t="str">
        <f t="shared" si="11"/>
        <v>1101030</v>
      </c>
      <c r="I87" s="8" t="str">
        <f t="shared" si="12"/>
        <v>1101030022</v>
      </c>
      <c r="J87" s="8" t="str">
        <f t="shared" si="13"/>
        <v>ACEH</v>
      </c>
      <c r="K87" s="8" t="str">
        <f t="shared" si="14"/>
        <v>SIMEULUE</v>
      </c>
      <c r="L87" s="8" t="str">
        <f t="shared" si="15"/>
        <v>SIMEULUE TENGAH</v>
      </c>
      <c r="M87" s="8" t="str">
        <f t="shared" si="16"/>
        <v>LUAN SORIP</v>
      </c>
      <c r="N87" s="8">
        <f t="shared" si="17"/>
        <v>474</v>
      </c>
    </row>
    <row r="88" spans="1:14" ht="15.95" customHeight="1" x14ac:dyDescent="0.25">
      <c r="A88" s="1" t="s">
        <v>4</v>
      </c>
      <c r="B88" s="1" t="s">
        <v>5</v>
      </c>
      <c r="C88" s="3" t="s">
        <v>75</v>
      </c>
      <c r="D88" s="1" t="s">
        <v>96</v>
      </c>
      <c r="E88" s="2">
        <v>172</v>
      </c>
      <c r="F88" s="8" t="str">
        <f t="shared" si="9"/>
        <v>11</v>
      </c>
      <c r="G88" s="8" t="str">
        <f t="shared" si="10"/>
        <v>1101</v>
      </c>
      <c r="H88" s="8" t="str">
        <f t="shared" si="11"/>
        <v>1101030</v>
      </c>
      <c r="I88" s="8" t="str">
        <f t="shared" si="12"/>
        <v>1101030023</v>
      </c>
      <c r="J88" s="8" t="str">
        <f t="shared" si="13"/>
        <v>ACEH</v>
      </c>
      <c r="K88" s="8" t="str">
        <f t="shared" si="14"/>
        <v>SIMEULUE</v>
      </c>
      <c r="L88" s="8" t="str">
        <f t="shared" si="15"/>
        <v>SIMEULUE TENGAH</v>
      </c>
      <c r="M88" s="8" t="str">
        <f t="shared" si="16"/>
        <v>SUAK BARU</v>
      </c>
      <c r="N88" s="8">
        <f t="shared" si="17"/>
        <v>172</v>
      </c>
    </row>
    <row r="89" spans="1:14" ht="15.95" customHeight="1" x14ac:dyDescent="0.25">
      <c r="A89" s="1" t="s">
        <v>4</v>
      </c>
      <c r="B89" s="1" t="s">
        <v>5</v>
      </c>
      <c r="C89" s="3" t="s">
        <v>75</v>
      </c>
      <c r="D89" s="1" t="s">
        <v>97</v>
      </c>
      <c r="E89" s="2">
        <v>186</v>
      </c>
      <c r="F89" s="8" t="str">
        <f t="shared" si="9"/>
        <v>11</v>
      </c>
      <c r="G89" s="8" t="str">
        <f t="shared" si="10"/>
        <v>1101</v>
      </c>
      <c r="H89" s="8" t="str">
        <f t="shared" si="11"/>
        <v>1101030</v>
      </c>
      <c r="I89" s="8" t="str">
        <f t="shared" si="12"/>
        <v>1101030024</v>
      </c>
      <c r="J89" s="8" t="str">
        <f t="shared" si="13"/>
        <v>ACEH</v>
      </c>
      <c r="K89" s="8" t="str">
        <f t="shared" si="14"/>
        <v>SIMEULUE</v>
      </c>
      <c r="L89" s="8" t="str">
        <f t="shared" si="15"/>
        <v>SIMEULUE TENGAH</v>
      </c>
      <c r="M89" s="8" t="str">
        <f t="shared" si="16"/>
        <v>SEBBE</v>
      </c>
      <c r="N89" s="8">
        <f t="shared" si="17"/>
        <v>186</v>
      </c>
    </row>
    <row r="90" spans="1:14" ht="15.95" customHeight="1" x14ac:dyDescent="0.25">
      <c r="A90" s="1" t="s">
        <v>4</v>
      </c>
      <c r="B90" s="1" t="s">
        <v>5</v>
      </c>
      <c r="C90" s="3" t="s">
        <v>75</v>
      </c>
      <c r="D90" s="1" t="s">
        <v>98</v>
      </c>
      <c r="E90" s="2">
        <v>207</v>
      </c>
      <c r="F90" s="8" t="str">
        <f t="shared" si="9"/>
        <v>11</v>
      </c>
      <c r="G90" s="8" t="str">
        <f t="shared" si="10"/>
        <v>1101</v>
      </c>
      <c r="H90" s="8" t="str">
        <f t="shared" si="11"/>
        <v>1101030</v>
      </c>
      <c r="I90" s="8" t="str">
        <f t="shared" si="12"/>
        <v>1101030025</v>
      </c>
      <c r="J90" s="8" t="str">
        <f t="shared" si="13"/>
        <v>ACEH</v>
      </c>
      <c r="K90" s="8" t="str">
        <f t="shared" si="14"/>
        <v>SIMEULUE</v>
      </c>
      <c r="L90" s="8" t="str">
        <f t="shared" si="15"/>
        <v>SIMEULUE TENGAH</v>
      </c>
      <c r="M90" s="8" t="str">
        <f t="shared" si="16"/>
        <v>KUTA BATU</v>
      </c>
      <c r="N90" s="8">
        <f t="shared" si="17"/>
        <v>207</v>
      </c>
    </row>
    <row r="91" spans="1:14" ht="15.95" customHeight="1" x14ac:dyDescent="0.25">
      <c r="A91" s="1" t="s">
        <v>4</v>
      </c>
      <c r="B91" s="1" t="s">
        <v>5</v>
      </c>
      <c r="C91" s="3" t="s">
        <v>75</v>
      </c>
      <c r="D91" s="1" t="s">
        <v>99</v>
      </c>
      <c r="E91" s="2">
        <v>318</v>
      </c>
      <c r="F91" s="8" t="str">
        <f t="shared" si="9"/>
        <v>11</v>
      </c>
      <c r="G91" s="8" t="str">
        <f t="shared" si="10"/>
        <v>1101</v>
      </c>
      <c r="H91" s="8" t="str">
        <f t="shared" si="11"/>
        <v>1101030</v>
      </c>
      <c r="I91" s="8" t="str">
        <f t="shared" si="12"/>
        <v>1101030026</v>
      </c>
      <c r="J91" s="8" t="str">
        <f t="shared" si="13"/>
        <v>ACEH</v>
      </c>
      <c r="K91" s="8" t="str">
        <f t="shared" si="14"/>
        <v>SIMEULUE</v>
      </c>
      <c r="L91" s="8" t="str">
        <f t="shared" si="15"/>
        <v>SIMEULUE TENGAH</v>
      </c>
      <c r="M91" s="8" t="str">
        <f t="shared" si="16"/>
        <v>WEL LANGKOM</v>
      </c>
      <c r="N91" s="8">
        <f t="shared" si="17"/>
        <v>318</v>
      </c>
    </row>
    <row r="92" spans="1:14" ht="15.95" customHeight="1" x14ac:dyDescent="0.25">
      <c r="A92" s="1" t="s">
        <v>4</v>
      </c>
      <c r="B92" s="1" t="s">
        <v>5</v>
      </c>
      <c r="C92" s="3" t="s">
        <v>100</v>
      </c>
      <c r="D92" s="3" t="s">
        <v>101</v>
      </c>
      <c r="E92" s="4">
        <v>227</v>
      </c>
      <c r="F92" s="8" t="str">
        <f t="shared" si="9"/>
        <v>11</v>
      </c>
      <c r="G92" s="8" t="str">
        <f t="shared" si="10"/>
        <v>1101</v>
      </c>
      <c r="H92" s="8" t="str">
        <f t="shared" si="11"/>
        <v>1101031</v>
      </c>
      <c r="I92" s="8" t="str">
        <f t="shared" si="12"/>
        <v>1101031001</v>
      </c>
      <c r="J92" s="8" t="str">
        <f t="shared" si="13"/>
        <v>ACEH</v>
      </c>
      <c r="K92" s="8" t="str">
        <f t="shared" si="14"/>
        <v>SIMEULUE</v>
      </c>
      <c r="L92" s="8" t="str">
        <f t="shared" si="15"/>
        <v>TELUK DALAM</v>
      </c>
      <c r="M92" s="8" t="str">
        <f t="shared" si="16"/>
        <v>KUALA BAKTI</v>
      </c>
      <c r="N92" s="8">
        <f t="shared" si="17"/>
        <v>227</v>
      </c>
    </row>
    <row r="93" spans="1:14" ht="15.95" customHeight="1" x14ac:dyDescent="0.25">
      <c r="A93" s="1" t="s">
        <v>4</v>
      </c>
      <c r="B93" s="1" t="s">
        <v>5</v>
      </c>
      <c r="C93" s="3" t="s">
        <v>100</v>
      </c>
      <c r="D93" s="1" t="s">
        <v>102</v>
      </c>
      <c r="E93" s="2">
        <v>390</v>
      </c>
      <c r="F93" s="8" t="str">
        <f t="shared" si="9"/>
        <v>11</v>
      </c>
      <c r="G93" s="8" t="str">
        <f t="shared" si="10"/>
        <v>1101</v>
      </c>
      <c r="H93" s="8" t="str">
        <f t="shared" si="11"/>
        <v>1101031</v>
      </c>
      <c r="I93" s="8" t="str">
        <f t="shared" si="12"/>
        <v>1101031002</v>
      </c>
      <c r="J93" s="8" t="str">
        <f t="shared" si="13"/>
        <v>ACEH</v>
      </c>
      <c r="K93" s="8" t="str">
        <f t="shared" si="14"/>
        <v>SIMEULUE</v>
      </c>
      <c r="L93" s="8" t="str">
        <f t="shared" si="15"/>
        <v>TELUK DALAM</v>
      </c>
      <c r="M93" s="8" t="str">
        <f t="shared" si="16"/>
        <v>LUGU SEBAHAK</v>
      </c>
      <c r="N93" s="8">
        <f t="shared" si="17"/>
        <v>390</v>
      </c>
    </row>
    <row r="94" spans="1:14" ht="15.95" customHeight="1" x14ac:dyDescent="0.25">
      <c r="A94" s="1" t="s">
        <v>4</v>
      </c>
      <c r="B94" s="1" t="s">
        <v>5</v>
      </c>
      <c r="C94" s="3" t="s">
        <v>100</v>
      </c>
      <c r="D94" s="1" t="s">
        <v>103</v>
      </c>
      <c r="E94" s="2">
        <v>354</v>
      </c>
      <c r="F94" s="8" t="str">
        <f t="shared" si="9"/>
        <v>11</v>
      </c>
      <c r="G94" s="8" t="str">
        <f t="shared" si="10"/>
        <v>1101</v>
      </c>
      <c r="H94" s="8" t="str">
        <f t="shared" si="11"/>
        <v>1101031</v>
      </c>
      <c r="I94" s="8" t="str">
        <f t="shared" si="12"/>
        <v>1101031003</v>
      </c>
      <c r="J94" s="8" t="str">
        <f t="shared" si="13"/>
        <v>ACEH</v>
      </c>
      <c r="K94" s="8" t="str">
        <f t="shared" si="14"/>
        <v>SIMEULUE</v>
      </c>
      <c r="L94" s="8" t="str">
        <f t="shared" si="15"/>
        <v>TELUK DALAM</v>
      </c>
      <c r="M94" s="8" t="str">
        <f t="shared" si="16"/>
        <v>GUNUNG PUTIH</v>
      </c>
      <c r="N94" s="8">
        <f t="shared" si="17"/>
        <v>354</v>
      </c>
    </row>
    <row r="95" spans="1:14" ht="15.95" customHeight="1" x14ac:dyDescent="0.25">
      <c r="A95" s="1" t="s">
        <v>4</v>
      </c>
      <c r="B95" s="1" t="s">
        <v>5</v>
      </c>
      <c r="C95" s="3" t="s">
        <v>100</v>
      </c>
      <c r="D95" s="1" t="s">
        <v>104</v>
      </c>
      <c r="E95" s="2">
        <v>458</v>
      </c>
      <c r="F95" s="8" t="str">
        <f t="shared" si="9"/>
        <v>11</v>
      </c>
      <c r="G95" s="8" t="str">
        <f t="shared" si="10"/>
        <v>1101</v>
      </c>
      <c r="H95" s="8" t="str">
        <f t="shared" si="11"/>
        <v>1101031</v>
      </c>
      <c r="I95" s="8" t="str">
        <f t="shared" si="12"/>
        <v>1101031004</v>
      </c>
      <c r="J95" s="8" t="str">
        <f t="shared" si="13"/>
        <v>ACEH</v>
      </c>
      <c r="K95" s="8" t="str">
        <f t="shared" si="14"/>
        <v>SIMEULUE</v>
      </c>
      <c r="L95" s="8" t="str">
        <f t="shared" si="15"/>
        <v>TELUK DALAM</v>
      </c>
      <c r="M95" s="8" t="str">
        <f t="shared" si="16"/>
        <v>BABUSSALAM</v>
      </c>
      <c r="N95" s="8">
        <f t="shared" si="17"/>
        <v>458</v>
      </c>
    </row>
    <row r="96" spans="1:14" ht="15.95" customHeight="1" x14ac:dyDescent="0.25">
      <c r="A96" s="1" t="s">
        <v>4</v>
      </c>
      <c r="B96" s="1" t="s">
        <v>5</v>
      </c>
      <c r="C96" s="3" t="s">
        <v>100</v>
      </c>
      <c r="D96" s="1" t="s">
        <v>105</v>
      </c>
      <c r="E96" s="2">
        <v>314</v>
      </c>
      <c r="F96" s="8" t="str">
        <f t="shared" si="9"/>
        <v>11</v>
      </c>
      <c r="G96" s="8" t="str">
        <f t="shared" si="10"/>
        <v>1101</v>
      </c>
      <c r="H96" s="8" t="str">
        <f t="shared" si="11"/>
        <v>1101031</v>
      </c>
      <c r="I96" s="8" t="str">
        <f t="shared" si="12"/>
        <v>1101031005</v>
      </c>
      <c r="J96" s="8" t="str">
        <f t="shared" si="13"/>
        <v>ACEH</v>
      </c>
      <c r="K96" s="8" t="str">
        <f t="shared" si="14"/>
        <v>SIMEULUE</v>
      </c>
      <c r="L96" s="8" t="str">
        <f t="shared" si="15"/>
        <v>TELUK DALAM</v>
      </c>
      <c r="M96" s="8" t="str">
        <f t="shared" si="16"/>
        <v>MUARA AMAN</v>
      </c>
      <c r="N96" s="8">
        <f t="shared" si="17"/>
        <v>314</v>
      </c>
    </row>
    <row r="97" spans="1:14" ht="15.95" customHeight="1" x14ac:dyDescent="0.25">
      <c r="A97" s="1" t="s">
        <v>4</v>
      </c>
      <c r="B97" s="1" t="s">
        <v>5</v>
      </c>
      <c r="C97" s="3" t="s">
        <v>100</v>
      </c>
      <c r="D97" s="1" t="s">
        <v>106</v>
      </c>
      <c r="E97" s="5">
        <v>1070</v>
      </c>
      <c r="F97" s="8" t="str">
        <f t="shared" si="9"/>
        <v>11</v>
      </c>
      <c r="G97" s="8" t="str">
        <f t="shared" si="10"/>
        <v>1101</v>
      </c>
      <c r="H97" s="8" t="str">
        <f t="shared" si="11"/>
        <v>1101031</v>
      </c>
      <c r="I97" s="8" t="str">
        <f t="shared" si="12"/>
        <v>1101031006</v>
      </c>
      <c r="J97" s="8" t="str">
        <f t="shared" si="13"/>
        <v>ACEH</v>
      </c>
      <c r="K97" s="8" t="str">
        <f t="shared" si="14"/>
        <v>SIMEULUE</v>
      </c>
      <c r="L97" s="8" t="str">
        <f t="shared" si="15"/>
        <v>TELUK DALAM</v>
      </c>
      <c r="M97" s="8" t="str">
        <f t="shared" si="16"/>
        <v>LUAN BALU</v>
      </c>
      <c r="N97" s="8">
        <f t="shared" si="17"/>
        <v>1070</v>
      </c>
    </row>
    <row r="98" spans="1:14" ht="15.95" customHeight="1" x14ac:dyDescent="0.25">
      <c r="A98" s="1" t="s">
        <v>4</v>
      </c>
      <c r="B98" s="1" t="s">
        <v>5</v>
      </c>
      <c r="C98" s="3" t="s">
        <v>100</v>
      </c>
      <c r="D98" s="1" t="s">
        <v>107</v>
      </c>
      <c r="E98" s="2">
        <v>546</v>
      </c>
      <c r="F98" s="8" t="str">
        <f t="shared" si="9"/>
        <v>11</v>
      </c>
      <c r="G98" s="8" t="str">
        <f t="shared" si="10"/>
        <v>1101</v>
      </c>
      <c r="H98" s="8" t="str">
        <f t="shared" si="11"/>
        <v>1101031</v>
      </c>
      <c r="I98" s="8" t="str">
        <f t="shared" si="12"/>
        <v>1101031007</v>
      </c>
      <c r="J98" s="8" t="str">
        <f t="shared" si="13"/>
        <v>ACEH</v>
      </c>
      <c r="K98" s="8" t="str">
        <f t="shared" si="14"/>
        <v>SIMEULUE</v>
      </c>
      <c r="L98" s="8" t="str">
        <f t="shared" si="15"/>
        <v>TELUK DALAM</v>
      </c>
      <c r="M98" s="8" t="str">
        <f t="shared" si="16"/>
        <v>SAMBAI</v>
      </c>
      <c r="N98" s="8">
        <f t="shared" si="17"/>
        <v>546</v>
      </c>
    </row>
    <row r="99" spans="1:14" ht="15.95" customHeight="1" x14ac:dyDescent="0.25">
      <c r="A99" s="1" t="s">
        <v>4</v>
      </c>
      <c r="B99" s="1" t="s">
        <v>5</v>
      </c>
      <c r="C99" s="3" t="s">
        <v>100</v>
      </c>
      <c r="D99" s="1" t="s">
        <v>108</v>
      </c>
      <c r="E99" s="2">
        <v>589</v>
      </c>
      <c r="F99" s="8" t="str">
        <f t="shared" si="9"/>
        <v>11</v>
      </c>
      <c r="G99" s="8" t="str">
        <f t="shared" si="10"/>
        <v>1101</v>
      </c>
      <c r="H99" s="8" t="str">
        <f t="shared" si="11"/>
        <v>1101031</v>
      </c>
      <c r="I99" s="8" t="str">
        <f t="shared" si="12"/>
        <v>1101031008</v>
      </c>
      <c r="J99" s="8" t="str">
        <f t="shared" si="13"/>
        <v>ACEH</v>
      </c>
      <c r="K99" s="8" t="str">
        <f t="shared" si="14"/>
        <v>SIMEULUE</v>
      </c>
      <c r="L99" s="8" t="str">
        <f t="shared" si="15"/>
        <v>TELUK DALAM</v>
      </c>
      <c r="M99" s="8" t="str">
        <f t="shared" si="16"/>
        <v>KUALA BARU</v>
      </c>
      <c r="N99" s="8">
        <f t="shared" si="17"/>
        <v>589</v>
      </c>
    </row>
    <row r="100" spans="1:14" ht="15.95" customHeight="1" x14ac:dyDescent="0.25">
      <c r="A100" s="1" t="s">
        <v>4</v>
      </c>
      <c r="B100" s="1" t="s">
        <v>5</v>
      </c>
      <c r="C100" s="3" t="s">
        <v>100</v>
      </c>
      <c r="D100" s="1" t="s">
        <v>109</v>
      </c>
      <c r="E100" s="2">
        <v>370</v>
      </c>
      <c r="F100" s="8" t="str">
        <f t="shared" si="9"/>
        <v>11</v>
      </c>
      <c r="G100" s="8" t="str">
        <f t="shared" si="10"/>
        <v>1101</v>
      </c>
      <c r="H100" s="8" t="str">
        <f t="shared" si="11"/>
        <v>1101031</v>
      </c>
      <c r="I100" s="8" t="str">
        <f t="shared" si="12"/>
        <v>1101031009</v>
      </c>
      <c r="J100" s="8" t="str">
        <f t="shared" si="13"/>
        <v>ACEH</v>
      </c>
      <c r="K100" s="8" t="str">
        <f t="shared" si="14"/>
        <v>SIMEULUE</v>
      </c>
      <c r="L100" s="8" t="str">
        <f t="shared" si="15"/>
        <v>TELUK DALAM</v>
      </c>
      <c r="M100" s="8" t="str">
        <f t="shared" si="16"/>
        <v>TANJUNG RAYA</v>
      </c>
      <c r="N100" s="8">
        <f t="shared" si="17"/>
        <v>370</v>
      </c>
    </row>
    <row r="101" spans="1:14" ht="15.95" customHeight="1" x14ac:dyDescent="0.25">
      <c r="A101" s="1" t="s">
        <v>4</v>
      </c>
      <c r="B101" s="1" t="s">
        <v>5</v>
      </c>
      <c r="C101" s="3" t="s">
        <v>100</v>
      </c>
      <c r="D101" s="1" t="s">
        <v>110</v>
      </c>
      <c r="E101" s="2">
        <v>596</v>
      </c>
      <c r="F101" s="8" t="str">
        <f t="shared" si="9"/>
        <v>11</v>
      </c>
      <c r="G101" s="8" t="str">
        <f t="shared" si="10"/>
        <v>1101</v>
      </c>
      <c r="H101" s="8" t="str">
        <f t="shared" si="11"/>
        <v>1101031</v>
      </c>
      <c r="I101" s="8" t="str">
        <f t="shared" si="12"/>
        <v>1101031010</v>
      </c>
      <c r="J101" s="8" t="str">
        <f t="shared" si="13"/>
        <v>ACEH</v>
      </c>
      <c r="K101" s="8" t="str">
        <f t="shared" si="14"/>
        <v>SIMEULUE</v>
      </c>
      <c r="L101" s="8" t="str">
        <f t="shared" si="15"/>
        <v>TELUK DALAM</v>
      </c>
      <c r="M101" s="8" t="str">
        <f t="shared" si="16"/>
        <v>BULU HADIK</v>
      </c>
      <c r="N101" s="8">
        <f t="shared" si="17"/>
        <v>596</v>
      </c>
    </row>
    <row r="102" spans="1:14" ht="15.95" customHeight="1" x14ac:dyDescent="0.25">
      <c r="A102" s="1" t="s">
        <v>4</v>
      </c>
      <c r="B102" s="1" t="s">
        <v>5</v>
      </c>
      <c r="C102" s="3" t="s">
        <v>111</v>
      </c>
      <c r="D102" s="3" t="s">
        <v>112</v>
      </c>
      <c r="E102" s="4">
        <v>476</v>
      </c>
      <c r="F102" s="8" t="str">
        <f t="shared" si="9"/>
        <v>11</v>
      </c>
      <c r="G102" s="8" t="str">
        <f t="shared" si="10"/>
        <v>1101</v>
      </c>
      <c r="H102" s="8" t="str">
        <f t="shared" si="11"/>
        <v>1101040</v>
      </c>
      <c r="I102" s="8" t="str">
        <f t="shared" si="12"/>
        <v>1101040001</v>
      </c>
      <c r="J102" s="8" t="str">
        <f t="shared" si="13"/>
        <v>ACEH</v>
      </c>
      <c r="K102" s="8" t="str">
        <f t="shared" si="14"/>
        <v>SIMEULUE</v>
      </c>
      <c r="L102" s="8" t="str">
        <f t="shared" si="15"/>
        <v>SALANG</v>
      </c>
      <c r="M102" s="8" t="str">
        <f t="shared" si="16"/>
        <v>UJUNG SALANG</v>
      </c>
      <c r="N102" s="8">
        <f t="shared" si="17"/>
        <v>476</v>
      </c>
    </row>
    <row r="103" spans="1:14" ht="15.95" customHeight="1" x14ac:dyDescent="0.25">
      <c r="A103" s="1" t="s">
        <v>4</v>
      </c>
      <c r="B103" s="1" t="s">
        <v>5</v>
      </c>
      <c r="C103" s="3" t="s">
        <v>111</v>
      </c>
      <c r="D103" s="1" t="s">
        <v>113</v>
      </c>
      <c r="E103" s="2">
        <v>667</v>
      </c>
      <c r="F103" s="8" t="str">
        <f t="shared" si="9"/>
        <v>11</v>
      </c>
      <c r="G103" s="8" t="str">
        <f t="shared" si="10"/>
        <v>1101</v>
      </c>
      <c r="H103" s="8" t="str">
        <f t="shared" si="11"/>
        <v>1101040</v>
      </c>
      <c r="I103" s="8" t="str">
        <f t="shared" si="12"/>
        <v>1101040002</v>
      </c>
      <c r="J103" s="8" t="str">
        <f t="shared" si="13"/>
        <v>ACEH</v>
      </c>
      <c r="K103" s="8" t="str">
        <f t="shared" si="14"/>
        <v>SIMEULUE</v>
      </c>
      <c r="L103" s="8" t="str">
        <f t="shared" si="15"/>
        <v>SALANG</v>
      </c>
      <c r="M103" s="8" t="str">
        <f t="shared" si="16"/>
        <v>PADANG UNOI</v>
      </c>
      <c r="N103" s="8">
        <f t="shared" si="17"/>
        <v>667</v>
      </c>
    </row>
    <row r="104" spans="1:14" ht="15.95" customHeight="1" x14ac:dyDescent="0.25">
      <c r="A104" s="1" t="s">
        <v>4</v>
      </c>
      <c r="B104" s="1" t="s">
        <v>5</v>
      </c>
      <c r="C104" s="3" t="s">
        <v>111</v>
      </c>
      <c r="D104" s="1" t="s">
        <v>114</v>
      </c>
      <c r="E104" s="2">
        <v>813</v>
      </c>
      <c r="F104" s="8" t="str">
        <f t="shared" si="9"/>
        <v>11</v>
      </c>
      <c r="G104" s="8" t="str">
        <f t="shared" si="10"/>
        <v>1101</v>
      </c>
      <c r="H104" s="8" t="str">
        <f t="shared" si="11"/>
        <v>1101040</v>
      </c>
      <c r="I104" s="8" t="str">
        <f t="shared" si="12"/>
        <v>1101040003</v>
      </c>
      <c r="J104" s="8" t="str">
        <f t="shared" si="13"/>
        <v>ACEH</v>
      </c>
      <c r="K104" s="8" t="str">
        <f t="shared" si="14"/>
        <v>SIMEULUE</v>
      </c>
      <c r="L104" s="8" t="str">
        <f t="shared" si="15"/>
        <v>SALANG</v>
      </c>
      <c r="M104" s="8" t="str">
        <f t="shared" si="16"/>
        <v>MEUNAFA</v>
      </c>
      <c r="N104" s="8">
        <f t="shared" si="17"/>
        <v>813</v>
      </c>
    </row>
    <row r="105" spans="1:14" ht="15.95" customHeight="1" x14ac:dyDescent="0.25">
      <c r="A105" s="1" t="s">
        <v>4</v>
      </c>
      <c r="B105" s="1" t="s">
        <v>5</v>
      </c>
      <c r="C105" s="3" t="s">
        <v>111</v>
      </c>
      <c r="D105" s="1" t="s">
        <v>115</v>
      </c>
      <c r="E105" s="2">
        <v>933</v>
      </c>
      <c r="F105" s="8" t="str">
        <f t="shared" si="9"/>
        <v>11</v>
      </c>
      <c r="G105" s="8" t="str">
        <f t="shared" si="10"/>
        <v>1101</v>
      </c>
      <c r="H105" s="8" t="str">
        <f t="shared" si="11"/>
        <v>1101040</v>
      </c>
      <c r="I105" s="8" t="str">
        <f t="shared" si="12"/>
        <v>1101040004</v>
      </c>
      <c r="J105" s="8" t="str">
        <f t="shared" si="13"/>
        <v>ACEH</v>
      </c>
      <c r="K105" s="8" t="str">
        <f t="shared" si="14"/>
        <v>SIMEULUE</v>
      </c>
      <c r="L105" s="8" t="str">
        <f t="shared" si="15"/>
        <v>SALANG</v>
      </c>
      <c r="M105" s="8" t="str">
        <f t="shared" si="16"/>
        <v>NASREUHE</v>
      </c>
      <c r="N105" s="8">
        <f t="shared" si="17"/>
        <v>933</v>
      </c>
    </row>
    <row r="106" spans="1:14" ht="15.95" customHeight="1" x14ac:dyDescent="0.25">
      <c r="A106" s="1" t="s">
        <v>4</v>
      </c>
      <c r="B106" s="1" t="s">
        <v>5</v>
      </c>
      <c r="C106" s="3" t="s">
        <v>111</v>
      </c>
      <c r="D106" s="1" t="s">
        <v>116</v>
      </c>
      <c r="E106" s="2">
        <v>425</v>
      </c>
      <c r="F106" s="8" t="str">
        <f t="shared" si="9"/>
        <v>11</v>
      </c>
      <c r="G106" s="8" t="str">
        <f t="shared" si="10"/>
        <v>1101</v>
      </c>
      <c r="H106" s="8" t="str">
        <f t="shared" si="11"/>
        <v>1101040</v>
      </c>
      <c r="I106" s="8" t="str">
        <f t="shared" si="12"/>
        <v>1101040005</v>
      </c>
      <c r="J106" s="8" t="str">
        <f t="shared" si="13"/>
        <v>ACEH</v>
      </c>
      <c r="K106" s="8" t="str">
        <f t="shared" si="14"/>
        <v>SIMEULUE</v>
      </c>
      <c r="L106" s="8" t="str">
        <f t="shared" si="15"/>
        <v>SALANG</v>
      </c>
      <c r="M106" s="8" t="str">
        <f t="shared" si="16"/>
        <v>ALONG</v>
      </c>
      <c r="N106" s="8">
        <f t="shared" si="17"/>
        <v>425</v>
      </c>
    </row>
    <row r="107" spans="1:14" ht="15.95" customHeight="1" x14ac:dyDescent="0.25">
      <c r="A107" s="1" t="s">
        <v>4</v>
      </c>
      <c r="B107" s="1" t="s">
        <v>5</v>
      </c>
      <c r="C107" s="3" t="s">
        <v>111</v>
      </c>
      <c r="D107" s="1" t="s">
        <v>117</v>
      </c>
      <c r="E107" s="2">
        <v>359</v>
      </c>
      <c r="F107" s="8" t="str">
        <f t="shared" si="9"/>
        <v>11</v>
      </c>
      <c r="G107" s="8" t="str">
        <f t="shared" si="10"/>
        <v>1101</v>
      </c>
      <c r="H107" s="8" t="str">
        <f t="shared" si="11"/>
        <v>1101040</v>
      </c>
      <c r="I107" s="8" t="str">
        <f t="shared" si="12"/>
        <v>1101040006</v>
      </c>
      <c r="J107" s="8" t="str">
        <f t="shared" si="13"/>
        <v>ACEH</v>
      </c>
      <c r="K107" s="8" t="str">
        <f t="shared" si="14"/>
        <v>SIMEULUE</v>
      </c>
      <c r="L107" s="8" t="str">
        <f t="shared" si="15"/>
        <v>SALANG</v>
      </c>
      <c r="M107" s="8" t="str">
        <f t="shared" si="16"/>
        <v>PANTON LAWE</v>
      </c>
      <c r="N107" s="8">
        <f t="shared" si="17"/>
        <v>359</v>
      </c>
    </row>
    <row r="108" spans="1:14" ht="15.95" customHeight="1" x14ac:dyDescent="0.25">
      <c r="A108" s="1" t="s">
        <v>4</v>
      </c>
      <c r="B108" s="1" t="s">
        <v>5</v>
      </c>
      <c r="C108" s="3" t="s">
        <v>111</v>
      </c>
      <c r="D108" s="1" t="s">
        <v>118</v>
      </c>
      <c r="E108" s="2">
        <v>458</v>
      </c>
      <c r="F108" s="8" t="str">
        <f t="shared" si="9"/>
        <v>11</v>
      </c>
      <c r="G108" s="8" t="str">
        <f t="shared" si="10"/>
        <v>1101</v>
      </c>
      <c r="H108" s="8" t="str">
        <f t="shared" si="11"/>
        <v>1101040</v>
      </c>
      <c r="I108" s="8" t="str">
        <f t="shared" si="12"/>
        <v>1101040007</v>
      </c>
      <c r="J108" s="8" t="str">
        <f t="shared" si="13"/>
        <v>ACEH</v>
      </c>
      <c r="K108" s="8" t="str">
        <f t="shared" si="14"/>
        <v>SIMEULUE</v>
      </c>
      <c r="L108" s="8" t="str">
        <f t="shared" si="15"/>
        <v>SALANG</v>
      </c>
      <c r="M108" s="8" t="str">
        <f t="shared" si="16"/>
        <v>MUTIARA</v>
      </c>
      <c r="N108" s="8">
        <f t="shared" si="17"/>
        <v>458</v>
      </c>
    </row>
    <row r="109" spans="1:14" ht="15.95" customHeight="1" x14ac:dyDescent="0.25">
      <c r="A109" s="1" t="s">
        <v>4</v>
      </c>
      <c r="B109" s="1" t="s">
        <v>5</v>
      </c>
      <c r="C109" s="3" t="s">
        <v>111</v>
      </c>
      <c r="D109" s="1" t="s">
        <v>119</v>
      </c>
      <c r="E109" s="2">
        <v>454</v>
      </c>
      <c r="F109" s="8" t="str">
        <f t="shared" si="9"/>
        <v>11</v>
      </c>
      <c r="G109" s="8" t="str">
        <f t="shared" si="10"/>
        <v>1101</v>
      </c>
      <c r="H109" s="8" t="str">
        <f t="shared" si="11"/>
        <v>1101040</v>
      </c>
      <c r="I109" s="8" t="str">
        <f t="shared" si="12"/>
        <v>1101040008</v>
      </c>
      <c r="J109" s="8" t="str">
        <f t="shared" si="13"/>
        <v>ACEH</v>
      </c>
      <c r="K109" s="8" t="str">
        <f t="shared" si="14"/>
        <v>SIMEULUE</v>
      </c>
      <c r="L109" s="8" t="str">
        <f t="shared" si="15"/>
        <v>SALANG</v>
      </c>
      <c r="M109" s="8" t="str">
        <f t="shared" si="16"/>
        <v>KARYA BAKTI</v>
      </c>
      <c r="N109" s="8">
        <f t="shared" si="17"/>
        <v>454</v>
      </c>
    </row>
    <row r="110" spans="1:14" ht="15.95" customHeight="1" x14ac:dyDescent="0.25">
      <c r="A110" s="1" t="s">
        <v>4</v>
      </c>
      <c r="B110" s="1" t="s">
        <v>5</v>
      </c>
      <c r="C110" s="3" t="s">
        <v>111</v>
      </c>
      <c r="D110" s="1" t="s">
        <v>120</v>
      </c>
      <c r="E110" s="2">
        <v>420</v>
      </c>
      <c r="F110" s="8" t="str">
        <f t="shared" si="9"/>
        <v>11</v>
      </c>
      <c r="G110" s="8" t="str">
        <f t="shared" si="10"/>
        <v>1101</v>
      </c>
      <c r="H110" s="8" t="str">
        <f t="shared" si="11"/>
        <v>1101040</v>
      </c>
      <c r="I110" s="8" t="str">
        <f t="shared" si="12"/>
        <v>1101040009</v>
      </c>
      <c r="J110" s="8" t="str">
        <f t="shared" si="13"/>
        <v>ACEH</v>
      </c>
      <c r="K110" s="8" t="str">
        <f t="shared" si="14"/>
        <v>SIMEULUE</v>
      </c>
      <c r="L110" s="8" t="str">
        <f t="shared" si="15"/>
        <v>SALANG</v>
      </c>
      <c r="M110" s="8" t="str">
        <f t="shared" si="16"/>
        <v>TAMON</v>
      </c>
      <c r="N110" s="8">
        <f t="shared" si="17"/>
        <v>420</v>
      </c>
    </row>
    <row r="111" spans="1:14" ht="15.95" customHeight="1" x14ac:dyDescent="0.25">
      <c r="A111" s="1" t="s">
        <v>4</v>
      </c>
      <c r="B111" s="1" t="s">
        <v>5</v>
      </c>
      <c r="C111" s="3" t="s">
        <v>111</v>
      </c>
      <c r="D111" s="1" t="s">
        <v>121</v>
      </c>
      <c r="E111" s="2">
        <v>451</v>
      </c>
      <c r="F111" s="8" t="str">
        <f t="shared" si="9"/>
        <v>11</v>
      </c>
      <c r="G111" s="8" t="str">
        <f t="shared" si="10"/>
        <v>1101</v>
      </c>
      <c r="H111" s="8" t="str">
        <f t="shared" si="11"/>
        <v>1101040</v>
      </c>
      <c r="I111" s="8" t="str">
        <f t="shared" si="12"/>
        <v>1101040010</v>
      </c>
      <c r="J111" s="8" t="str">
        <f t="shared" si="13"/>
        <v>ACEH</v>
      </c>
      <c r="K111" s="8" t="str">
        <f t="shared" si="14"/>
        <v>SIMEULUE</v>
      </c>
      <c r="L111" s="8" t="str">
        <f t="shared" si="15"/>
        <v>SALANG</v>
      </c>
      <c r="M111" s="8" t="str">
        <f t="shared" si="16"/>
        <v>JAYA BARU</v>
      </c>
      <c r="N111" s="8">
        <f t="shared" si="17"/>
        <v>451</v>
      </c>
    </row>
    <row r="112" spans="1:14" ht="15.95" customHeight="1" x14ac:dyDescent="0.25">
      <c r="A112" s="1" t="s">
        <v>4</v>
      </c>
      <c r="B112" s="1" t="s">
        <v>5</v>
      </c>
      <c r="C112" s="3" t="s">
        <v>111</v>
      </c>
      <c r="D112" s="1" t="s">
        <v>122</v>
      </c>
      <c r="E112" s="2">
        <v>540</v>
      </c>
      <c r="F112" s="8" t="str">
        <f t="shared" si="9"/>
        <v>11</v>
      </c>
      <c r="G112" s="8" t="str">
        <f t="shared" si="10"/>
        <v>1101</v>
      </c>
      <c r="H112" s="8" t="str">
        <f t="shared" si="11"/>
        <v>1101040</v>
      </c>
      <c r="I112" s="8" t="str">
        <f t="shared" si="12"/>
        <v>1101040011</v>
      </c>
      <c r="J112" s="8" t="str">
        <f t="shared" si="13"/>
        <v>ACEH</v>
      </c>
      <c r="K112" s="8" t="str">
        <f t="shared" si="14"/>
        <v>SIMEULUE</v>
      </c>
      <c r="L112" s="8" t="str">
        <f t="shared" si="15"/>
        <v>SALANG</v>
      </c>
      <c r="M112" s="8" t="str">
        <f t="shared" si="16"/>
        <v>TAMENG</v>
      </c>
      <c r="N112" s="8">
        <f t="shared" si="17"/>
        <v>540</v>
      </c>
    </row>
    <row r="113" spans="1:14" ht="15.95" customHeight="1" x14ac:dyDescent="0.25">
      <c r="A113" s="1" t="s">
        <v>4</v>
      </c>
      <c r="B113" s="1" t="s">
        <v>5</v>
      </c>
      <c r="C113" s="3" t="s">
        <v>111</v>
      </c>
      <c r="D113" s="1" t="s">
        <v>123</v>
      </c>
      <c r="E113" s="2">
        <v>265</v>
      </c>
      <c r="F113" s="8" t="str">
        <f t="shared" si="9"/>
        <v>11</v>
      </c>
      <c r="G113" s="8" t="str">
        <f t="shared" si="10"/>
        <v>1101</v>
      </c>
      <c r="H113" s="8" t="str">
        <f t="shared" si="11"/>
        <v>1101040</v>
      </c>
      <c r="I113" s="8" t="str">
        <f t="shared" si="12"/>
        <v>1101040012</v>
      </c>
      <c r="J113" s="8" t="str">
        <f t="shared" si="13"/>
        <v>ACEH</v>
      </c>
      <c r="K113" s="8" t="str">
        <f t="shared" si="14"/>
        <v>SIMEULUE</v>
      </c>
      <c r="L113" s="8" t="str">
        <f t="shared" si="15"/>
        <v>SALANG</v>
      </c>
      <c r="M113" s="8" t="str">
        <f t="shared" si="16"/>
        <v>LALLA</v>
      </c>
      <c r="N113" s="8">
        <f t="shared" si="17"/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zoomScale="80" zoomScaleNormal="80" workbookViewId="0">
      <selection activeCell="I3" sqref="I3"/>
    </sheetView>
  </sheetViews>
  <sheetFormatPr defaultRowHeight="15.95" customHeight="1" x14ac:dyDescent="0.25"/>
  <cols>
    <col min="1" max="1" width="9.140625" bestFit="1" customWidth="1"/>
    <col min="2" max="2" width="18.28515625" bestFit="1" customWidth="1"/>
    <col min="3" max="3" width="21.42578125" bestFit="1" customWidth="1"/>
    <col min="4" max="4" width="21.7109375" bestFit="1" customWidth="1"/>
    <col min="5" max="5" width="11" bestFit="1" customWidth="1"/>
    <col min="9" max="9" width="12" bestFit="1" customWidth="1"/>
    <col min="10" max="10" width="10.5703125" bestFit="1" customWidth="1"/>
    <col min="11" max="11" width="13.140625" customWidth="1"/>
    <col min="12" max="12" width="19.28515625" bestFit="1" customWidth="1"/>
    <col min="13" max="13" width="18.85546875" bestFit="1" customWidth="1"/>
    <col min="14" max="14" width="21" bestFit="1" customWidth="1"/>
  </cols>
  <sheetData>
    <row r="1" spans="1:14" ht="15.95" customHeight="1" x14ac:dyDescent="0.25">
      <c r="A1" s="6"/>
      <c r="B1" s="6" t="s">
        <v>0</v>
      </c>
      <c r="C1" s="6" t="s">
        <v>1</v>
      </c>
      <c r="D1" s="6" t="s">
        <v>2</v>
      </c>
      <c r="E1" s="7" t="s">
        <v>133</v>
      </c>
      <c r="F1" s="6" t="s">
        <v>124</v>
      </c>
      <c r="G1" s="6" t="s">
        <v>125</v>
      </c>
      <c r="H1" s="6" t="s">
        <v>126</v>
      </c>
      <c r="I1" s="6" t="s">
        <v>127</v>
      </c>
      <c r="J1" s="6" t="s">
        <v>129</v>
      </c>
      <c r="K1" s="6" t="s">
        <v>130</v>
      </c>
      <c r="L1" s="6" t="s">
        <v>131</v>
      </c>
      <c r="M1" s="6" t="s">
        <v>132</v>
      </c>
      <c r="N1" s="6" t="s">
        <v>128</v>
      </c>
    </row>
    <row r="2" spans="1:14" ht="15.95" customHeight="1" x14ac:dyDescent="0.25">
      <c r="A2" s="1" t="s">
        <v>4</v>
      </c>
      <c r="B2" s="1" t="s">
        <v>5</v>
      </c>
      <c r="C2" s="1" t="s">
        <v>6</v>
      </c>
      <c r="D2" s="1" t="s">
        <v>7</v>
      </c>
      <c r="E2" s="2">
        <v>270</v>
      </c>
      <c r="F2" s="10">
        <v>11</v>
      </c>
      <c r="G2" s="10">
        <v>1101</v>
      </c>
      <c r="H2" s="10">
        <v>1101010</v>
      </c>
      <c r="I2" s="10">
        <v>1101010001</v>
      </c>
      <c r="J2" s="8" t="s">
        <v>134</v>
      </c>
      <c r="K2" s="8" t="s">
        <v>135</v>
      </c>
      <c r="L2" s="8" t="s">
        <v>136</v>
      </c>
      <c r="M2" s="8" t="s">
        <v>137</v>
      </c>
      <c r="N2" s="8">
        <v>270</v>
      </c>
    </row>
    <row r="3" spans="1:14" ht="15.95" customHeight="1" x14ac:dyDescent="0.25">
      <c r="A3" s="1" t="s">
        <v>4</v>
      </c>
      <c r="B3" s="1" t="s">
        <v>5</v>
      </c>
      <c r="C3" s="1" t="s">
        <v>6</v>
      </c>
      <c r="D3" s="1" t="s">
        <v>8</v>
      </c>
      <c r="E3" s="2">
        <v>398</v>
      </c>
      <c r="F3" s="10">
        <v>11</v>
      </c>
      <c r="G3" s="10">
        <v>1101</v>
      </c>
      <c r="H3" s="10">
        <v>1101010</v>
      </c>
      <c r="I3" s="10">
        <v>1101010002</v>
      </c>
      <c r="J3" s="8" t="s">
        <v>134</v>
      </c>
      <c r="K3" s="8" t="s">
        <v>135</v>
      </c>
      <c r="L3" s="8" t="s">
        <v>136</v>
      </c>
      <c r="M3" s="8" t="s">
        <v>138</v>
      </c>
      <c r="N3" s="8">
        <v>398</v>
      </c>
    </row>
    <row r="4" spans="1:14" ht="15.95" customHeight="1" x14ac:dyDescent="0.25">
      <c r="A4" s="1" t="s">
        <v>4</v>
      </c>
      <c r="B4" s="1" t="s">
        <v>5</v>
      </c>
      <c r="C4" s="1" t="s">
        <v>6</v>
      </c>
      <c r="D4" s="1" t="s">
        <v>9</v>
      </c>
      <c r="E4" s="2">
        <v>465</v>
      </c>
      <c r="F4" s="10">
        <v>11</v>
      </c>
      <c r="G4" s="10">
        <v>1101</v>
      </c>
      <c r="H4" s="10">
        <v>1101010</v>
      </c>
      <c r="I4" s="10">
        <v>1101010003</v>
      </c>
      <c r="J4" s="8" t="s">
        <v>134</v>
      </c>
      <c r="K4" s="8" t="s">
        <v>135</v>
      </c>
      <c r="L4" s="8" t="s">
        <v>136</v>
      </c>
      <c r="M4" s="8" t="s">
        <v>139</v>
      </c>
      <c r="N4" s="8">
        <v>465</v>
      </c>
    </row>
    <row r="5" spans="1:14" ht="15.95" customHeight="1" x14ac:dyDescent="0.25">
      <c r="A5" s="1" t="s">
        <v>4</v>
      </c>
      <c r="B5" s="1" t="s">
        <v>5</v>
      </c>
      <c r="C5" s="1" t="s">
        <v>6</v>
      </c>
      <c r="D5" s="1" t="s">
        <v>10</v>
      </c>
      <c r="E5" s="2">
        <v>515</v>
      </c>
      <c r="F5" s="10">
        <v>11</v>
      </c>
      <c r="G5" s="10">
        <v>1101</v>
      </c>
      <c r="H5" s="10">
        <v>1101010</v>
      </c>
      <c r="I5" s="10">
        <v>1101010004</v>
      </c>
      <c r="J5" s="8" t="s">
        <v>134</v>
      </c>
      <c r="K5" s="8" t="s">
        <v>135</v>
      </c>
      <c r="L5" s="8" t="s">
        <v>136</v>
      </c>
      <c r="M5" s="8" t="s">
        <v>140</v>
      </c>
      <c r="N5" s="8">
        <v>515</v>
      </c>
    </row>
    <row r="6" spans="1:14" ht="15.95" customHeight="1" x14ac:dyDescent="0.25">
      <c r="A6" s="1" t="s">
        <v>4</v>
      </c>
      <c r="B6" s="1" t="s">
        <v>5</v>
      </c>
      <c r="C6" s="1" t="s">
        <v>6</v>
      </c>
      <c r="D6" s="1" t="s">
        <v>11</v>
      </c>
      <c r="E6" s="2">
        <v>340</v>
      </c>
      <c r="F6" s="10">
        <v>11</v>
      </c>
      <c r="G6" s="10">
        <v>1101</v>
      </c>
      <c r="H6" s="10">
        <v>1101010</v>
      </c>
      <c r="I6" s="10">
        <v>1101010005</v>
      </c>
      <c r="J6" s="8" t="s">
        <v>134</v>
      </c>
      <c r="K6" s="8" t="s">
        <v>135</v>
      </c>
      <c r="L6" s="8" t="s">
        <v>136</v>
      </c>
      <c r="M6" s="8" t="s">
        <v>141</v>
      </c>
      <c r="N6" s="8">
        <v>340</v>
      </c>
    </row>
    <row r="7" spans="1:14" ht="15.95" customHeight="1" x14ac:dyDescent="0.25">
      <c r="A7" s="1" t="s">
        <v>4</v>
      </c>
      <c r="B7" s="1" t="s">
        <v>5</v>
      </c>
      <c r="C7" s="1" t="s">
        <v>6</v>
      </c>
      <c r="D7" s="1" t="s">
        <v>12</v>
      </c>
      <c r="E7" s="2">
        <v>378</v>
      </c>
      <c r="F7" s="10">
        <v>11</v>
      </c>
      <c r="G7" s="10">
        <v>1101</v>
      </c>
      <c r="H7" s="10">
        <v>1101010</v>
      </c>
      <c r="I7" s="10">
        <v>1101010006</v>
      </c>
      <c r="J7" s="8" t="s">
        <v>134</v>
      </c>
      <c r="K7" s="8" t="s">
        <v>135</v>
      </c>
      <c r="L7" s="8" t="s">
        <v>136</v>
      </c>
      <c r="M7" s="8" t="s">
        <v>142</v>
      </c>
      <c r="N7" s="8">
        <v>378</v>
      </c>
    </row>
    <row r="8" spans="1:14" ht="15.95" customHeight="1" x14ac:dyDescent="0.25">
      <c r="A8" s="1" t="s">
        <v>4</v>
      </c>
      <c r="B8" s="1" t="s">
        <v>5</v>
      </c>
      <c r="C8" s="1" t="s">
        <v>6</v>
      </c>
      <c r="D8" s="1" t="s">
        <v>13</v>
      </c>
      <c r="E8" s="2">
        <v>289</v>
      </c>
      <c r="F8" s="10">
        <v>11</v>
      </c>
      <c r="G8" s="10">
        <v>1101</v>
      </c>
      <c r="H8" s="10">
        <v>1101010</v>
      </c>
      <c r="I8" s="10">
        <v>1101010007</v>
      </c>
      <c r="J8" s="8" t="s">
        <v>134</v>
      </c>
      <c r="K8" s="8" t="s">
        <v>135</v>
      </c>
      <c r="L8" s="8" t="s">
        <v>136</v>
      </c>
      <c r="M8" s="8" t="s">
        <v>143</v>
      </c>
      <c r="N8" s="8">
        <v>289</v>
      </c>
    </row>
    <row r="9" spans="1:14" ht="15.95" customHeight="1" x14ac:dyDescent="0.25">
      <c r="A9" s="1" t="s">
        <v>4</v>
      </c>
      <c r="B9" s="1" t="s">
        <v>5</v>
      </c>
      <c r="C9" s="1" t="s">
        <v>6</v>
      </c>
      <c r="D9" s="1" t="s">
        <v>14</v>
      </c>
      <c r="E9" s="2">
        <v>398</v>
      </c>
      <c r="F9" s="10">
        <v>11</v>
      </c>
      <c r="G9" s="10">
        <v>1101</v>
      </c>
      <c r="H9" s="10">
        <v>1101010</v>
      </c>
      <c r="I9" s="10">
        <v>1101010008</v>
      </c>
      <c r="J9" s="8" t="s">
        <v>134</v>
      </c>
      <c r="K9" s="8" t="s">
        <v>135</v>
      </c>
      <c r="L9" s="8" t="s">
        <v>136</v>
      </c>
      <c r="M9" s="8" t="s">
        <v>144</v>
      </c>
      <c r="N9" s="8">
        <v>398</v>
      </c>
    </row>
    <row r="10" spans="1:14" ht="15.95" customHeight="1" x14ac:dyDescent="0.25">
      <c r="A10" s="1" t="s">
        <v>4</v>
      </c>
      <c r="B10" s="1" t="s">
        <v>5</v>
      </c>
      <c r="C10" s="1" t="s">
        <v>6</v>
      </c>
      <c r="D10" s="1" t="s">
        <v>15</v>
      </c>
      <c r="E10" s="2">
        <v>310</v>
      </c>
      <c r="F10" s="10">
        <v>11</v>
      </c>
      <c r="G10" s="10">
        <v>1101</v>
      </c>
      <c r="H10" s="10">
        <v>1101010</v>
      </c>
      <c r="I10" s="10">
        <v>1101010009</v>
      </c>
      <c r="J10" s="8" t="s">
        <v>134</v>
      </c>
      <c r="K10" s="8" t="s">
        <v>135</v>
      </c>
      <c r="L10" s="8" t="s">
        <v>136</v>
      </c>
      <c r="M10" s="8" t="s">
        <v>145</v>
      </c>
      <c r="N10" s="8">
        <v>310</v>
      </c>
    </row>
    <row r="11" spans="1:14" ht="15.95" customHeight="1" x14ac:dyDescent="0.25">
      <c r="A11" s="1" t="s">
        <v>4</v>
      </c>
      <c r="B11" s="1" t="s">
        <v>5</v>
      </c>
      <c r="C11" s="1" t="s">
        <v>6</v>
      </c>
      <c r="D11" s="1" t="s">
        <v>16</v>
      </c>
      <c r="E11" s="2">
        <v>396</v>
      </c>
      <c r="F11" s="10">
        <v>11</v>
      </c>
      <c r="G11" s="10">
        <v>1101</v>
      </c>
      <c r="H11" s="10">
        <v>1101010</v>
      </c>
      <c r="I11" s="10">
        <v>1101010010</v>
      </c>
      <c r="J11" s="8" t="s">
        <v>134</v>
      </c>
      <c r="K11" s="8" t="s">
        <v>135</v>
      </c>
      <c r="L11" s="8" t="s">
        <v>136</v>
      </c>
      <c r="M11" s="8" t="s">
        <v>146</v>
      </c>
      <c r="N11" s="8">
        <v>396</v>
      </c>
    </row>
    <row r="12" spans="1:14" ht="15.95" customHeight="1" x14ac:dyDescent="0.25">
      <c r="A12" s="1" t="s">
        <v>4</v>
      </c>
      <c r="B12" s="1" t="s">
        <v>5</v>
      </c>
      <c r="C12" s="1" t="s">
        <v>6</v>
      </c>
      <c r="D12" s="1" t="s">
        <v>17</v>
      </c>
      <c r="E12" s="2">
        <v>568</v>
      </c>
      <c r="F12" s="10">
        <v>11</v>
      </c>
      <c r="G12" s="10">
        <v>1101</v>
      </c>
      <c r="H12" s="10">
        <v>1101010</v>
      </c>
      <c r="I12" s="10">
        <v>1101010011</v>
      </c>
      <c r="J12" s="8" t="s">
        <v>134</v>
      </c>
      <c r="K12" s="8" t="s">
        <v>135</v>
      </c>
      <c r="L12" s="8" t="s">
        <v>136</v>
      </c>
      <c r="M12" s="8" t="s">
        <v>147</v>
      </c>
      <c r="N12" s="8">
        <v>568</v>
      </c>
    </row>
    <row r="13" spans="1:14" ht="15.95" customHeight="1" x14ac:dyDescent="0.25">
      <c r="A13" s="1" t="s">
        <v>4</v>
      </c>
      <c r="B13" s="1" t="s">
        <v>5</v>
      </c>
      <c r="C13" s="1" t="s">
        <v>6</v>
      </c>
      <c r="D13" s="1" t="s">
        <v>18</v>
      </c>
      <c r="E13" s="5">
        <v>1127</v>
      </c>
      <c r="F13" s="10">
        <v>11</v>
      </c>
      <c r="G13" s="10">
        <v>1101</v>
      </c>
      <c r="H13" s="10">
        <v>1101010</v>
      </c>
      <c r="I13" s="10">
        <v>1101010012</v>
      </c>
      <c r="J13" s="8" t="s">
        <v>134</v>
      </c>
      <c r="K13" s="8" t="s">
        <v>135</v>
      </c>
      <c r="L13" s="8" t="s">
        <v>136</v>
      </c>
      <c r="M13" s="8" t="s">
        <v>148</v>
      </c>
      <c r="N13" s="8">
        <v>1127</v>
      </c>
    </row>
    <row r="14" spans="1:14" ht="15.95" customHeight="1" x14ac:dyDescent="0.25">
      <c r="A14" s="1" t="s">
        <v>4</v>
      </c>
      <c r="B14" s="1" t="s">
        <v>5</v>
      </c>
      <c r="C14" s="1" t="s">
        <v>6</v>
      </c>
      <c r="D14" s="1" t="s">
        <v>19</v>
      </c>
      <c r="E14" s="2">
        <v>359</v>
      </c>
      <c r="F14" s="10">
        <v>11</v>
      </c>
      <c r="G14" s="10">
        <v>1101</v>
      </c>
      <c r="H14" s="10">
        <v>1101010</v>
      </c>
      <c r="I14" s="10">
        <v>1101010013</v>
      </c>
      <c r="J14" s="8" t="s">
        <v>134</v>
      </c>
      <c r="K14" s="8" t="s">
        <v>135</v>
      </c>
      <c r="L14" s="8" t="s">
        <v>136</v>
      </c>
      <c r="M14" s="8" t="s">
        <v>149</v>
      </c>
      <c r="N14" s="8">
        <v>359</v>
      </c>
    </row>
    <row r="15" spans="1:14" ht="15.95" customHeight="1" x14ac:dyDescent="0.25">
      <c r="A15" s="1" t="s">
        <v>4</v>
      </c>
      <c r="B15" s="1" t="s">
        <v>5</v>
      </c>
      <c r="C15" s="1" t="s">
        <v>6</v>
      </c>
      <c r="D15" s="1" t="s">
        <v>20</v>
      </c>
      <c r="E15" s="2">
        <v>627</v>
      </c>
      <c r="F15" s="10">
        <v>11</v>
      </c>
      <c r="G15" s="10">
        <v>1101</v>
      </c>
      <c r="H15" s="10">
        <v>1101010</v>
      </c>
      <c r="I15" s="10">
        <v>1101010014</v>
      </c>
      <c r="J15" s="8" t="s">
        <v>134</v>
      </c>
      <c r="K15" s="8" t="s">
        <v>135</v>
      </c>
      <c r="L15" s="8" t="s">
        <v>136</v>
      </c>
      <c r="M15" s="8" t="s">
        <v>150</v>
      </c>
      <c r="N15" s="8">
        <v>627</v>
      </c>
    </row>
    <row r="16" spans="1:14" ht="15.95" customHeight="1" x14ac:dyDescent="0.25">
      <c r="A16" s="1" t="s">
        <v>4</v>
      </c>
      <c r="B16" s="1" t="s">
        <v>5</v>
      </c>
      <c r="C16" s="1" t="s">
        <v>6</v>
      </c>
      <c r="D16" s="1" t="s">
        <v>21</v>
      </c>
      <c r="E16" s="2">
        <v>490</v>
      </c>
      <c r="F16" s="10">
        <v>11</v>
      </c>
      <c r="G16" s="10">
        <v>1101</v>
      </c>
      <c r="H16" s="10">
        <v>1101010</v>
      </c>
      <c r="I16" s="10">
        <v>1101010015</v>
      </c>
      <c r="J16" s="8" t="s">
        <v>134</v>
      </c>
      <c r="K16" s="8" t="s">
        <v>135</v>
      </c>
      <c r="L16" s="8" t="s">
        <v>136</v>
      </c>
      <c r="M16" s="8" t="s">
        <v>151</v>
      </c>
      <c r="N16" s="8">
        <v>490</v>
      </c>
    </row>
    <row r="17" spans="1:14" ht="15.95" customHeight="1" x14ac:dyDescent="0.25">
      <c r="A17" s="1" t="s">
        <v>4</v>
      </c>
      <c r="B17" s="1" t="s">
        <v>5</v>
      </c>
      <c r="C17" s="1" t="s">
        <v>6</v>
      </c>
      <c r="D17" s="1" t="s">
        <v>22</v>
      </c>
      <c r="E17" s="2">
        <v>594</v>
      </c>
      <c r="F17" s="10">
        <v>11</v>
      </c>
      <c r="G17" s="10">
        <v>1101</v>
      </c>
      <c r="H17" s="10">
        <v>1101010</v>
      </c>
      <c r="I17" s="10">
        <v>1101010016</v>
      </c>
      <c r="J17" s="8" t="s">
        <v>134</v>
      </c>
      <c r="K17" s="8" t="s">
        <v>135</v>
      </c>
      <c r="L17" s="8" t="s">
        <v>136</v>
      </c>
      <c r="M17" s="8" t="s">
        <v>152</v>
      </c>
      <c r="N17" s="8">
        <v>594</v>
      </c>
    </row>
    <row r="18" spans="1:14" ht="15.95" customHeight="1" x14ac:dyDescent="0.25">
      <c r="A18" s="1" t="s">
        <v>4</v>
      </c>
      <c r="B18" s="1" t="s">
        <v>5</v>
      </c>
      <c r="C18" s="1" t="s">
        <v>6</v>
      </c>
      <c r="D18" s="1" t="s">
        <v>23</v>
      </c>
      <c r="E18" s="2">
        <v>218</v>
      </c>
      <c r="F18" s="10">
        <v>11</v>
      </c>
      <c r="G18" s="10">
        <v>1101</v>
      </c>
      <c r="H18" s="10">
        <v>1101010</v>
      </c>
      <c r="I18" s="10">
        <v>1101010017</v>
      </c>
      <c r="J18" s="8" t="s">
        <v>134</v>
      </c>
      <c r="K18" s="8" t="s">
        <v>135</v>
      </c>
      <c r="L18" s="8" t="s">
        <v>136</v>
      </c>
      <c r="M18" s="8" t="s">
        <v>153</v>
      </c>
      <c r="N18" s="8">
        <v>218</v>
      </c>
    </row>
    <row r="19" spans="1:14" ht="15.95" customHeight="1" x14ac:dyDescent="0.25">
      <c r="A19" s="1" t="s">
        <v>4</v>
      </c>
      <c r="B19" s="1" t="s">
        <v>5</v>
      </c>
      <c r="C19" s="1" t="s">
        <v>6</v>
      </c>
      <c r="D19" s="1" t="s">
        <v>24</v>
      </c>
      <c r="E19" s="2">
        <v>377</v>
      </c>
      <c r="F19" s="10">
        <v>11</v>
      </c>
      <c r="G19" s="10">
        <v>1101</v>
      </c>
      <c r="H19" s="10">
        <v>1101010</v>
      </c>
      <c r="I19" s="10">
        <v>1101010018</v>
      </c>
      <c r="J19" s="8" t="s">
        <v>134</v>
      </c>
      <c r="K19" s="8" t="s">
        <v>135</v>
      </c>
      <c r="L19" s="8" t="s">
        <v>136</v>
      </c>
      <c r="M19" s="8" t="s">
        <v>154</v>
      </c>
      <c r="N19" s="8">
        <v>377</v>
      </c>
    </row>
    <row r="20" spans="1:14" ht="15.95" customHeight="1" x14ac:dyDescent="0.25">
      <c r="A20" s="1" t="s">
        <v>4</v>
      </c>
      <c r="B20" s="1" t="s">
        <v>5</v>
      </c>
      <c r="C20" s="1" t="s">
        <v>6</v>
      </c>
      <c r="D20" s="1" t="s">
        <v>25</v>
      </c>
      <c r="E20" s="2">
        <v>303</v>
      </c>
      <c r="F20" s="10">
        <v>11</v>
      </c>
      <c r="G20" s="10">
        <v>1101</v>
      </c>
      <c r="H20" s="10">
        <v>1101010</v>
      </c>
      <c r="I20" s="10">
        <v>1101010019</v>
      </c>
      <c r="J20" s="8" t="s">
        <v>134</v>
      </c>
      <c r="K20" s="8" t="s">
        <v>135</v>
      </c>
      <c r="L20" s="8" t="s">
        <v>136</v>
      </c>
      <c r="M20" s="8" t="s">
        <v>155</v>
      </c>
      <c r="N20" s="8">
        <v>303</v>
      </c>
    </row>
    <row r="21" spans="1:14" ht="15.95" customHeight="1" x14ac:dyDescent="0.25">
      <c r="A21" s="1" t="s">
        <v>4</v>
      </c>
      <c r="B21" s="1" t="s">
        <v>5</v>
      </c>
      <c r="C21" s="3" t="s">
        <v>156</v>
      </c>
      <c r="D21" s="3" t="s">
        <v>157</v>
      </c>
      <c r="E21" s="9">
        <v>499</v>
      </c>
      <c r="F21" s="10">
        <v>11</v>
      </c>
      <c r="G21" s="10">
        <v>1101</v>
      </c>
      <c r="H21" s="10">
        <v>1101020</v>
      </c>
      <c r="I21" s="10">
        <v>1101020001</v>
      </c>
      <c r="J21" s="8" t="s">
        <v>134</v>
      </c>
      <c r="K21" s="8" t="s">
        <v>135</v>
      </c>
      <c r="L21" s="8" t="s">
        <v>158</v>
      </c>
      <c r="M21" s="8" t="s">
        <v>159</v>
      </c>
      <c r="N21" s="8">
        <v>499</v>
      </c>
    </row>
    <row r="22" spans="1:14" ht="15.95" customHeight="1" x14ac:dyDescent="0.25">
      <c r="A22" s="1" t="s">
        <v>4</v>
      </c>
      <c r="B22" s="1" t="s">
        <v>5</v>
      </c>
      <c r="C22" s="3" t="s">
        <v>156</v>
      </c>
      <c r="D22" s="1" t="s">
        <v>28</v>
      </c>
      <c r="E22" s="2">
        <v>899</v>
      </c>
      <c r="F22" s="10">
        <v>11</v>
      </c>
      <c r="G22" s="10">
        <v>1101</v>
      </c>
      <c r="H22" s="10">
        <v>1101020</v>
      </c>
      <c r="I22" s="10">
        <v>1101020002</v>
      </c>
      <c r="J22" s="8" t="s">
        <v>134</v>
      </c>
      <c r="K22" s="8" t="s">
        <v>135</v>
      </c>
      <c r="L22" s="8" t="s">
        <v>158</v>
      </c>
      <c r="M22" s="8" t="s">
        <v>160</v>
      </c>
      <c r="N22" s="8">
        <v>899</v>
      </c>
    </row>
    <row r="23" spans="1:14" ht="15.95" customHeight="1" x14ac:dyDescent="0.25">
      <c r="A23" s="1" t="s">
        <v>4</v>
      </c>
      <c r="B23" s="1" t="s">
        <v>5</v>
      </c>
      <c r="C23" s="3" t="s">
        <v>156</v>
      </c>
      <c r="D23" s="1" t="s">
        <v>29</v>
      </c>
      <c r="E23" s="2">
        <v>400</v>
      </c>
      <c r="F23" s="10">
        <v>11</v>
      </c>
      <c r="G23" s="10">
        <v>1101</v>
      </c>
      <c r="H23" s="10">
        <v>1101020</v>
      </c>
      <c r="I23" s="10">
        <v>1101020003</v>
      </c>
      <c r="J23" s="8" t="s">
        <v>134</v>
      </c>
      <c r="K23" s="8" t="s">
        <v>135</v>
      </c>
      <c r="L23" s="8" t="s">
        <v>158</v>
      </c>
      <c r="M23" s="8" t="s">
        <v>161</v>
      </c>
      <c r="N23" s="8">
        <v>400</v>
      </c>
    </row>
    <row r="24" spans="1:14" ht="15.95" customHeight="1" x14ac:dyDescent="0.25">
      <c r="A24" s="1" t="s">
        <v>4</v>
      </c>
      <c r="B24" s="1" t="s">
        <v>5</v>
      </c>
      <c r="C24" s="3" t="s">
        <v>156</v>
      </c>
      <c r="D24" s="1" t="s">
        <v>30</v>
      </c>
      <c r="E24" s="2">
        <v>334</v>
      </c>
      <c r="F24" s="10">
        <v>11</v>
      </c>
      <c r="G24" s="10">
        <v>1101</v>
      </c>
      <c r="H24" s="10">
        <v>1101020</v>
      </c>
      <c r="I24" s="10">
        <v>1101020004</v>
      </c>
      <c r="J24" s="8" t="s">
        <v>134</v>
      </c>
      <c r="K24" s="8" t="s">
        <v>135</v>
      </c>
      <c r="L24" s="8" t="s">
        <v>158</v>
      </c>
      <c r="M24" s="8" t="s">
        <v>162</v>
      </c>
      <c r="N24" s="8">
        <v>334</v>
      </c>
    </row>
    <row r="25" spans="1:14" ht="15.95" customHeight="1" x14ac:dyDescent="0.25">
      <c r="A25" s="1" t="s">
        <v>4</v>
      </c>
      <c r="B25" s="1" t="s">
        <v>5</v>
      </c>
      <c r="C25" s="3" t="s">
        <v>156</v>
      </c>
      <c r="D25" s="1" t="s">
        <v>31</v>
      </c>
      <c r="E25" s="2">
        <v>324</v>
      </c>
      <c r="F25" s="10">
        <v>11</v>
      </c>
      <c r="G25" s="10">
        <v>1101</v>
      </c>
      <c r="H25" s="10">
        <v>1101020</v>
      </c>
      <c r="I25" s="10">
        <v>1101020005</v>
      </c>
      <c r="J25" s="8" t="s">
        <v>134</v>
      </c>
      <c r="K25" s="8" t="s">
        <v>135</v>
      </c>
      <c r="L25" s="8" t="s">
        <v>158</v>
      </c>
      <c r="M25" s="8" t="s">
        <v>163</v>
      </c>
      <c r="N25" s="8">
        <v>324</v>
      </c>
    </row>
    <row r="26" spans="1:14" ht="15.95" customHeight="1" x14ac:dyDescent="0.25">
      <c r="A26" s="1" t="s">
        <v>4</v>
      </c>
      <c r="B26" s="1" t="s">
        <v>5</v>
      </c>
      <c r="C26" s="3" t="s">
        <v>156</v>
      </c>
      <c r="D26" s="1" t="s">
        <v>32</v>
      </c>
      <c r="E26" s="2">
        <v>275</v>
      </c>
      <c r="F26" s="10">
        <v>11</v>
      </c>
      <c r="G26" s="10">
        <v>1101</v>
      </c>
      <c r="H26" s="10">
        <v>1101020</v>
      </c>
      <c r="I26" s="10">
        <v>1101020006</v>
      </c>
      <c r="J26" s="8" t="s">
        <v>134</v>
      </c>
      <c r="K26" s="8" t="s">
        <v>135</v>
      </c>
      <c r="L26" s="8" t="s">
        <v>158</v>
      </c>
      <c r="M26" s="8" t="s">
        <v>164</v>
      </c>
      <c r="N26" s="8">
        <v>275</v>
      </c>
    </row>
    <row r="27" spans="1:14" ht="15.95" customHeight="1" x14ac:dyDescent="0.25">
      <c r="A27" s="1" t="s">
        <v>4</v>
      </c>
      <c r="B27" s="1" t="s">
        <v>5</v>
      </c>
      <c r="C27" s="3" t="s">
        <v>156</v>
      </c>
      <c r="D27" s="1" t="s">
        <v>33</v>
      </c>
      <c r="E27" s="2">
        <v>452</v>
      </c>
      <c r="F27" s="10">
        <v>11</v>
      </c>
      <c r="G27" s="10">
        <v>1101</v>
      </c>
      <c r="H27" s="10">
        <v>1101020</v>
      </c>
      <c r="I27" s="10">
        <v>1101020007</v>
      </c>
      <c r="J27" s="8" t="s">
        <v>134</v>
      </c>
      <c r="K27" s="8" t="s">
        <v>135</v>
      </c>
      <c r="L27" s="8" t="s">
        <v>158</v>
      </c>
      <c r="M27" s="8" t="s">
        <v>165</v>
      </c>
      <c r="N27" s="8">
        <v>452</v>
      </c>
    </row>
    <row r="28" spans="1:14" ht="15.95" customHeight="1" x14ac:dyDescent="0.25">
      <c r="A28" s="1" t="s">
        <v>4</v>
      </c>
      <c r="B28" s="1" t="s">
        <v>5</v>
      </c>
      <c r="C28" s="3" t="s">
        <v>156</v>
      </c>
      <c r="D28" s="1" t="s">
        <v>34</v>
      </c>
      <c r="E28" s="2">
        <v>655</v>
      </c>
      <c r="F28" s="10">
        <v>11</v>
      </c>
      <c r="G28" s="10">
        <v>1101</v>
      </c>
      <c r="H28" s="10">
        <v>1101020</v>
      </c>
      <c r="I28" s="10">
        <v>1101020008</v>
      </c>
      <c r="J28" s="8" t="s">
        <v>134</v>
      </c>
      <c r="K28" s="8" t="s">
        <v>135</v>
      </c>
      <c r="L28" s="8" t="s">
        <v>158</v>
      </c>
      <c r="M28" s="8" t="s">
        <v>166</v>
      </c>
      <c r="N28" s="8">
        <v>655</v>
      </c>
    </row>
    <row r="29" spans="1:14" ht="15.95" customHeight="1" x14ac:dyDescent="0.25">
      <c r="A29" s="1" t="s">
        <v>4</v>
      </c>
      <c r="B29" s="1" t="s">
        <v>5</v>
      </c>
      <c r="C29" s="3" t="s">
        <v>156</v>
      </c>
      <c r="D29" s="1" t="s">
        <v>35</v>
      </c>
      <c r="E29" s="2">
        <v>609</v>
      </c>
      <c r="F29" s="10">
        <v>11</v>
      </c>
      <c r="G29" s="10">
        <v>1101</v>
      </c>
      <c r="H29" s="10">
        <v>1101020</v>
      </c>
      <c r="I29" s="10">
        <v>1101020009</v>
      </c>
      <c r="J29" s="8" t="s">
        <v>134</v>
      </c>
      <c r="K29" s="8" t="s">
        <v>135</v>
      </c>
      <c r="L29" s="8" t="s">
        <v>158</v>
      </c>
      <c r="M29" s="8" t="s">
        <v>167</v>
      </c>
      <c r="N29" s="8">
        <v>609</v>
      </c>
    </row>
    <row r="30" spans="1:14" ht="15.95" customHeight="1" x14ac:dyDescent="0.25">
      <c r="A30" s="1" t="s">
        <v>4</v>
      </c>
      <c r="B30" s="1" t="s">
        <v>5</v>
      </c>
      <c r="C30" s="3" t="s">
        <v>156</v>
      </c>
      <c r="D30" s="1" t="s">
        <v>36</v>
      </c>
      <c r="E30" s="2">
        <v>225</v>
      </c>
      <c r="F30" s="10">
        <v>11</v>
      </c>
      <c r="G30" s="10">
        <v>1101</v>
      </c>
      <c r="H30" s="10">
        <v>1101020</v>
      </c>
      <c r="I30" s="10">
        <v>1101020010</v>
      </c>
      <c r="J30" s="8" t="s">
        <v>134</v>
      </c>
      <c r="K30" s="8" t="s">
        <v>135</v>
      </c>
      <c r="L30" s="8" t="s">
        <v>158</v>
      </c>
      <c r="M30" s="8" t="s">
        <v>168</v>
      </c>
      <c r="N30" s="8">
        <v>225</v>
      </c>
    </row>
    <row r="31" spans="1:14" ht="15.95" customHeight="1" x14ac:dyDescent="0.25">
      <c r="A31" s="1" t="s">
        <v>4</v>
      </c>
      <c r="B31" s="1" t="s">
        <v>5</v>
      </c>
      <c r="C31" s="3" t="s">
        <v>156</v>
      </c>
      <c r="D31" s="1" t="s">
        <v>37</v>
      </c>
      <c r="E31" s="5">
        <v>1089</v>
      </c>
      <c r="F31" s="10">
        <v>11</v>
      </c>
      <c r="G31" s="10">
        <v>1101</v>
      </c>
      <c r="H31" s="10">
        <v>1101020</v>
      </c>
      <c r="I31" s="10">
        <v>1101020022</v>
      </c>
      <c r="J31" s="8" t="s">
        <v>134</v>
      </c>
      <c r="K31" s="8" t="s">
        <v>135</v>
      </c>
      <c r="L31" s="8" t="s">
        <v>158</v>
      </c>
      <c r="M31" s="8" t="s">
        <v>169</v>
      </c>
      <c r="N31" s="8">
        <v>1089</v>
      </c>
    </row>
    <row r="32" spans="1:14" ht="15.95" customHeight="1" x14ac:dyDescent="0.25">
      <c r="A32" s="1" t="s">
        <v>4</v>
      </c>
      <c r="B32" s="1" t="s">
        <v>5</v>
      </c>
      <c r="C32" s="3" t="s">
        <v>156</v>
      </c>
      <c r="D32" s="1" t="s">
        <v>38</v>
      </c>
      <c r="E32" s="5">
        <v>1104</v>
      </c>
      <c r="F32" s="10">
        <v>11</v>
      </c>
      <c r="G32" s="10">
        <v>1101</v>
      </c>
      <c r="H32" s="10">
        <v>1101020</v>
      </c>
      <c r="I32" s="10">
        <v>1101020023</v>
      </c>
      <c r="J32" s="8" t="s">
        <v>134</v>
      </c>
      <c r="K32" s="8" t="s">
        <v>135</v>
      </c>
      <c r="L32" s="8" t="s">
        <v>158</v>
      </c>
      <c r="M32" s="8" t="s">
        <v>170</v>
      </c>
      <c r="N32" s="8">
        <v>1104</v>
      </c>
    </row>
    <row r="33" spans="1:14" ht="15.95" customHeight="1" x14ac:dyDescent="0.25">
      <c r="A33" s="1" t="s">
        <v>4</v>
      </c>
      <c r="B33" s="1" t="s">
        <v>5</v>
      </c>
      <c r="C33" s="3" t="s">
        <v>156</v>
      </c>
      <c r="D33" s="1" t="s">
        <v>39</v>
      </c>
      <c r="E33" s="5">
        <v>1151</v>
      </c>
      <c r="F33" s="10">
        <v>11</v>
      </c>
      <c r="G33" s="10">
        <v>1101</v>
      </c>
      <c r="H33" s="10">
        <v>1101020</v>
      </c>
      <c r="I33" s="10">
        <v>1101020024</v>
      </c>
      <c r="J33" s="8" t="s">
        <v>134</v>
      </c>
      <c r="K33" s="8" t="s">
        <v>135</v>
      </c>
      <c r="L33" s="8" t="s">
        <v>158</v>
      </c>
      <c r="M33" s="8" t="s">
        <v>171</v>
      </c>
      <c r="N33" s="8">
        <v>1151</v>
      </c>
    </row>
    <row r="34" spans="1:14" ht="15.95" customHeight="1" x14ac:dyDescent="0.25">
      <c r="A34" s="1" t="s">
        <v>4</v>
      </c>
      <c r="B34" s="1" t="s">
        <v>5</v>
      </c>
      <c r="C34" s="3" t="s">
        <v>156</v>
      </c>
      <c r="D34" s="1" t="s">
        <v>40</v>
      </c>
      <c r="E34" s="2">
        <v>636</v>
      </c>
      <c r="F34" s="10">
        <v>11</v>
      </c>
      <c r="G34" s="10">
        <v>1101</v>
      </c>
      <c r="H34" s="10">
        <v>1101020</v>
      </c>
      <c r="I34" s="10">
        <v>1101020025</v>
      </c>
      <c r="J34" s="8" t="s">
        <v>134</v>
      </c>
      <c r="K34" s="8" t="s">
        <v>135</v>
      </c>
      <c r="L34" s="8" t="s">
        <v>158</v>
      </c>
      <c r="M34" s="8" t="s">
        <v>172</v>
      </c>
      <c r="N34" s="8">
        <v>636</v>
      </c>
    </row>
    <row r="35" spans="1:14" ht="15.95" customHeight="1" x14ac:dyDescent="0.25">
      <c r="A35" s="1" t="s">
        <v>4</v>
      </c>
      <c r="B35" s="1" t="s">
        <v>5</v>
      </c>
      <c r="C35" s="3" t="s">
        <v>156</v>
      </c>
      <c r="D35" s="1" t="s">
        <v>41</v>
      </c>
      <c r="E35" s="2">
        <v>781</v>
      </c>
      <c r="F35" s="10">
        <v>11</v>
      </c>
      <c r="G35" s="10">
        <v>1101</v>
      </c>
      <c r="H35" s="10">
        <v>1101020</v>
      </c>
      <c r="I35" s="10">
        <v>1101020026</v>
      </c>
      <c r="J35" s="8" t="s">
        <v>134</v>
      </c>
      <c r="K35" s="8" t="s">
        <v>135</v>
      </c>
      <c r="L35" s="8" t="s">
        <v>158</v>
      </c>
      <c r="M35" s="8" t="s">
        <v>173</v>
      </c>
      <c r="N35" s="8">
        <v>781</v>
      </c>
    </row>
    <row r="36" spans="1:14" ht="15.95" customHeight="1" x14ac:dyDescent="0.25">
      <c r="A36" s="1" t="s">
        <v>4</v>
      </c>
      <c r="B36" s="1" t="s">
        <v>5</v>
      </c>
      <c r="C36" s="3" t="s">
        <v>156</v>
      </c>
      <c r="D36" s="1" t="s">
        <v>42</v>
      </c>
      <c r="E36" s="5">
        <v>1704</v>
      </c>
      <c r="F36" s="10">
        <v>11</v>
      </c>
      <c r="G36" s="10">
        <v>1101</v>
      </c>
      <c r="H36" s="10">
        <v>1101020</v>
      </c>
      <c r="I36" s="10">
        <v>1101020027</v>
      </c>
      <c r="J36" s="8" t="s">
        <v>134</v>
      </c>
      <c r="K36" s="8" t="s">
        <v>135</v>
      </c>
      <c r="L36" s="8" t="s">
        <v>158</v>
      </c>
      <c r="M36" s="8" t="s">
        <v>174</v>
      </c>
      <c r="N36" s="8">
        <v>1704</v>
      </c>
    </row>
    <row r="37" spans="1:14" ht="15.95" customHeight="1" x14ac:dyDescent="0.25">
      <c r="A37" s="1" t="s">
        <v>4</v>
      </c>
      <c r="B37" s="1" t="s">
        <v>5</v>
      </c>
      <c r="C37" s="3" t="s">
        <v>156</v>
      </c>
      <c r="D37" s="1" t="s">
        <v>43</v>
      </c>
      <c r="E37" s="5">
        <v>2415</v>
      </c>
      <c r="F37" s="10">
        <v>11</v>
      </c>
      <c r="G37" s="10">
        <v>1101</v>
      </c>
      <c r="H37" s="10">
        <v>1101020</v>
      </c>
      <c r="I37" s="10">
        <v>1101020028</v>
      </c>
      <c r="J37" s="8" t="s">
        <v>134</v>
      </c>
      <c r="K37" s="8" t="s">
        <v>135</v>
      </c>
      <c r="L37" s="8" t="s">
        <v>158</v>
      </c>
      <c r="M37" s="8" t="s">
        <v>175</v>
      </c>
      <c r="N37" s="8">
        <v>2415</v>
      </c>
    </row>
    <row r="38" spans="1:14" ht="15.95" customHeight="1" x14ac:dyDescent="0.25">
      <c r="A38" s="1" t="s">
        <v>4</v>
      </c>
      <c r="B38" s="1" t="s">
        <v>5</v>
      </c>
      <c r="C38" s="3" t="s">
        <v>156</v>
      </c>
      <c r="D38" s="1" t="s">
        <v>44</v>
      </c>
      <c r="E38" s="5">
        <v>4466</v>
      </c>
      <c r="F38" s="10">
        <v>11</v>
      </c>
      <c r="G38" s="10">
        <v>1101</v>
      </c>
      <c r="H38" s="10">
        <v>1101020</v>
      </c>
      <c r="I38" s="10">
        <v>1101020029</v>
      </c>
      <c r="J38" s="8" t="s">
        <v>134</v>
      </c>
      <c r="K38" s="8" t="s">
        <v>135</v>
      </c>
      <c r="L38" s="8" t="s">
        <v>158</v>
      </c>
      <c r="M38" s="8" t="s">
        <v>176</v>
      </c>
      <c r="N38" s="8">
        <v>4466</v>
      </c>
    </row>
    <row r="39" spans="1:14" ht="15.95" customHeight="1" x14ac:dyDescent="0.25">
      <c r="A39" s="1" t="s">
        <v>4</v>
      </c>
      <c r="B39" s="1" t="s">
        <v>5</v>
      </c>
      <c r="C39" s="3" t="s">
        <v>156</v>
      </c>
      <c r="D39" s="1" t="s">
        <v>45</v>
      </c>
      <c r="E39" s="5">
        <v>2536</v>
      </c>
      <c r="F39" s="10">
        <v>11</v>
      </c>
      <c r="G39" s="10">
        <v>1101</v>
      </c>
      <c r="H39" s="10">
        <v>1101020</v>
      </c>
      <c r="I39" s="10">
        <v>1101020030</v>
      </c>
      <c r="J39" s="8" t="s">
        <v>134</v>
      </c>
      <c r="K39" s="8" t="s">
        <v>135</v>
      </c>
      <c r="L39" s="8" t="s">
        <v>158</v>
      </c>
      <c r="M39" s="8" t="s">
        <v>177</v>
      </c>
      <c r="N39" s="8">
        <v>2536</v>
      </c>
    </row>
    <row r="40" spans="1:14" ht="15.95" customHeight="1" x14ac:dyDescent="0.25">
      <c r="A40" s="1" t="s">
        <v>4</v>
      </c>
      <c r="B40" s="1" t="s">
        <v>5</v>
      </c>
      <c r="C40" s="3" t="s">
        <v>156</v>
      </c>
      <c r="D40" s="1" t="s">
        <v>46</v>
      </c>
      <c r="E40" s="5">
        <v>2728</v>
      </c>
      <c r="F40" s="10">
        <v>11</v>
      </c>
      <c r="G40" s="10">
        <v>1101</v>
      </c>
      <c r="H40" s="10">
        <v>1101020</v>
      </c>
      <c r="I40" s="10">
        <v>1101020031</v>
      </c>
      <c r="J40" s="8" t="s">
        <v>134</v>
      </c>
      <c r="K40" s="8" t="s">
        <v>135</v>
      </c>
      <c r="L40" s="8" t="s">
        <v>158</v>
      </c>
      <c r="M40" s="8" t="s">
        <v>178</v>
      </c>
      <c r="N40" s="8">
        <v>2728</v>
      </c>
    </row>
    <row r="41" spans="1:14" ht="15.95" customHeight="1" x14ac:dyDescent="0.25">
      <c r="A41" s="1" t="s">
        <v>4</v>
      </c>
      <c r="B41" s="1" t="s">
        <v>5</v>
      </c>
      <c r="C41" s="3" t="s">
        <v>156</v>
      </c>
      <c r="D41" s="1" t="s">
        <v>47</v>
      </c>
      <c r="E41" s="5">
        <v>1080</v>
      </c>
      <c r="F41" s="10">
        <v>11</v>
      </c>
      <c r="G41" s="10">
        <v>1101</v>
      </c>
      <c r="H41" s="10">
        <v>1101020</v>
      </c>
      <c r="I41" s="10">
        <v>1101020032</v>
      </c>
      <c r="J41" s="8" t="s">
        <v>134</v>
      </c>
      <c r="K41" s="8" t="s">
        <v>135</v>
      </c>
      <c r="L41" s="8" t="s">
        <v>158</v>
      </c>
      <c r="M41" s="8" t="s">
        <v>179</v>
      </c>
      <c r="N41" s="8">
        <v>1080</v>
      </c>
    </row>
    <row r="42" spans="1:14" ht="15.95" customHeight="1" x14ac:dyDescent="0.25">
      <c r="A42" s="1" t="s">
        <v>4</v>
      </c>
      <c r="B42" s="1" t="s">
        <v>5</v>
      </c>
      <c r="C42" s="3" t="s">
        <v>156</v>
      </c>
      <c r="D42" s="1" t="s">
        <v>48</v>
      </c>
      <c r="E42" s="2">
        <v>587</v>
      </c>
      <c r="F42" s="10">
        <v>11</v>
      </c>
      <c r="G42" s="10">
        <v>1101</v>
      </c>
      <c r="H42" s="10">
        <v>1101020</v>
      </c>
      <c r="I42" s="10">
        <v>1101020033</v>
      </c>
      <c r="J42" s="8" t="s">
        <v>134</v>
      </c>
      <c r="K42" s="8" t="s">
        <v>135</v>
      </c>
      <c r="L42" s="8" t="s">
        <v>158</v>
      </c>
      <c r="M42" s="8" t="s">
        <v>180</v>
      </c>
      <c r="N42" s="8">
        <v>587</v>
      </c>
    </row>
    <row r="43" spans="1:14" ht="15.95" customHeight="1" x14ac:dyDescent="0.25">
      <c r="A43" s="1" t="s">
        <v>4</v>
      </c>
      <c r="B43" s="1" t="s">
        <v>5</v>
      </c>
      <c r="C43" s="3" t="s">
        <v>156</v>
      </c>
      <c r="D43" s="1" t="s">
        <v>49</v>
      </c>
      <c r="E43" s="2">
        <v>533</v>
      </c>
      <c r="F43" s="10">
        <v>11</v>
      </c>
      <c r="G43" s="10">
        <v>1101</v>
      </c>
      <c r="H43" s="10">
        <v>1101020</v>
      </c>
      <c r="I43" s="10">
        <v>1101020034</v>
      </c>
      <c r="J43" s="8" t="s">
        <v>134</v>
      </c>
      <c r="K43" s="8" t="s">
        <v>135</v>
      </c>
      <c r="L43" s="8" t="s">
        <v>158</v>
      </c>
      <c r="M43" s="8" t="s">
        <v>181</v>
      </c>
      <c r="N43" s="8">
        <v>533</v>
      </c>
    </row>
    <row r="44" spans="1:14" ht="15.95" customHeight="1" x14ac:dyDescent="0.25">
      <c r="A44" s="1" t="s">
        <v>4</v>
      </c>
      <c r="B44" s="1" t="s">
        <v>5</v>
      </c>
      <c r="C44" s="3" t="s">
        <v>156</v>
      </c>
      <c r="D44" s="1" t="s">
        <v>50</v>
      </c>
      <c r="E44" s="5">
        <v>1184</v>
      </c>
      <c r="F44" s="10">
        <v>11</v>
      </c>
      <c r="G44" s="10">
        <v>1101</v>
      </c>
      <c r="H44" s="10">
        <v>1101020</v>
      </c>
      <c r="I44" s="10">
        <v>1101020035</v>
      </c>
      <c r="J44" s="8" t="s">
        <v>134</v>
      </c>
      <c r="K44" s="8" t="s">
        <v>135</v>
      </c>
      <c r="L44" s="8" t="s">
        <v>158</v>
      </c>
      <c r="M44" s="8" t="s">
        <v>182</v>
      </c>
      <c r="N44" s="8">
        <v>1184</v>
      </c>
    </row>
    <row r="45" spans="1:14" ht="15.95" customHeight="1" x14ac:dyDescent="0.25">
      <c r="A45" s="1" t="s">
        <v>4</v>
      </c>
      <c r="B45" s="1" t="s">
        <v>5</v>
      </c>
      <c r="C45" s="3" t="s">
        <v>156</v>
      </c>
      <c r="D45" s="1" t="s">
        <v>51</v>
      </c>
      <c r="E45" s="2">
        <v>388</v>
      </c>
      <c r="F45" s="10">
        <v>11</v>
      </c>
      <c r="G45" s="10">
        <v>1101</v>
      </c>
      <c r="H45" s="10">
        <v>1101020</v>
      </c>
      <c r="I45" s="10">
        <v>1101020036</v>
      </c>
      <c r="J45" s="8" t="s">
        <v>134</v>
      </c>
      <c r="K45" s="8" t="s">
        <v>135</v>
      </c>
      <c r="L45" s="8" t="s">
        <v>158</v>
      </c>
      <c r="M45" s="8" t="s">
        <v>183</v>
      </c>
      <c r="N45" s="8">
        <v>388</v>
      </c>
    </row>
    <row r="46" spans="1:14" ht="15.95" customHeight="1" x14ac:dyDescent="0.25">
      <c r="A46" s="1" t="s">
        <v>4</v>
      </c>
      <c r="B46" s="1" t="s">
        <v>5</v>
      </c>
      <c r="C46" s="3" t="s">
        <v>156</v>
      </c>
      <c r="D46" s="1" t="s">
        <v>52</v>
      </c>
      <c r="E46" s="2">
        <v>310</v>
      </c>
      <c r="F46" s="10">
        <v>11</v>
      </c>
      <c r="G46" s="10">
        <v>1101</v>
      </c>
      <c r="H46" s="10">
        <v>1101020</v>
      </c>
      <c r="I46" s="10">
        <v>1101020037</v>
      </c>
      <c r="J46" s="8" t="s">
        <v>134</v>
      </c>
      <c r="K46" s="8" t="s">
        <v>135</v>
      </c>
      <c r="L46" s="8" t="s">
        <v>158</v>
      </c>
      <c r="M46" s="8" t="s">
        <v>184</v>
      </c>
      <c r="N46" s="8">
        <v>310</v>
      </c>
    </row>
    <row r="47" spans="1:14" ht="15.95" customHeight="1" x14ac:dyDescent="0.25">
      <c r="A47" s="1" t="s">
        <v>4</v>
      </c>
      <c r="B47" s="1" t="s">
        <v>5</v>
      </c>
      <c r="C47" s="3" t="s">
        <v>156</v>
      </c>
      <c r="D47" s="1" t="s">
        <v>53</v>
      </c>
      <c r="E47" s="2">
        <v>454</v>
      </c>
      <c r="F47" s="10">
        <v>11</v>
      </c>
      <c r="G47" s="10">
        <v>1101</v>
      </c>
      <c r="H47" s="10">
        <v>1101020</v>
      </c>
      <c r="I47" s="10">
        <v>1101020038</v>
      </c>
      <c r="J47" s="8" t="s">
        <v>134</v>
      </c>
      <c r="K47" s="8" t="s">
        <v>135</v>
      </c>
      <c r="L47" s="8" t="s">
        <v>158</v>
      </c>
      <c r="M47" s="8" t="s">
        <v>185</v>
      </c>
      <c r="N47" s="8">
        <v>454</v>
      </c>
    </row>
    <row r="48" spans="1:14" ht="15.95" customHeight="1" x14ac:dyDescent="0.25">
      <c r="A48" s="1" t="s">
        <v>4</v>
      </c>
      <c r="B48" s="1" t="s">
        <v>5</v>
      </c>
      <c r="C48" s="3" t="s">
        <v>156</v>
      </c>
      <c r="D48" s="1" t="s">
        <v>54</v>
      </c>
      <c r="E48" s="2">
        <v>518</v>
      </c>
      <c r="F48" s="10">
        <v>11</v>
      </c>
      <c r="G48" s="10">
        <v>1101</v>
      </c>
      <c r="H48" s="10">
        <v>1101020</v>
      </c>
      <c r="I48" s="10">
        <v>1101020039</v>
      </c>
      <c r="J48" s="8" t="s">
        <v>134</v>
      </c>
      <c r="K48" s="8" t="s">
        <v>135</v>
      </c>
      <c r="L48" s="8" t="s">
        <v>158</v>
      </c>
      <c r="M48" s="8" t="s">
        <v>186</v>
      </c>
      <c r="N48" s="8">
        <v>518</v>
      </c>
    </row>
    <row r="49" spans="1:14" ht="15.95" customHeight="1" x14ac:dyDescent="0.25">
      <c r="A49" s="1" t="s">
        <v>4</v>
      </c>
      <c r="B49" s="1" t="s">
        <v>5</v>
      </c>
      <c r="C49" s="3" t="s">
        <v>156</v>
      </c>
      <c r="D49" s="1" t="s">
        <v>55</v>
      </c>
      <c r="E49" s="2">
        <v>595</v>
      </c>
      <c r="F49" s="10">
        <v>11</v>
      </c>
      <c r="G49" s="10">
        <v>1101</v>
      </c>
      <c r="H49" s="10">
        <v>1101020</v>
      </c>
      <c r="I49" s="10">
        <v>1101020040</v>
      </c>
      <c r="J49" s="8" t="s">
        <v>134</v>
      </c>
      <c r="K49" s="8" t="s">
        <v>135</v>
      </c>
      <c r="L49" s="8" t="s">
        <v>158</v>
      </c>
      <c r="M49" s="8" t="s">
        <v>187</v>
      </c>
      <c r="N49" s="8">
        <v>595</v>
      </c>
    </row>
    <row r="50" spans="1:14" ht="15.95" customHeight="1" x14ac:dyDescent="0.25">
      <c r="A50" s="1" t="s">
        <v>4</v>
      </c>
      <c r="B50" s="1" t="s">
        <v>5</v>
      </c>
      <c r="C50" s="3" t="s">
        <v>188</v>
      </c>
      <c r="D50" s="3" t="s">
        <v>189</v>
      </c>
      <c r="E50" s="4">
        <v>273</v>
      </c>
      <c r="F50" s="10">
        <v>11</v>
      </c>
      <c r="G50" s="10">
        <v>1101</v>
      </c>
      <c r="H50" s="10">
        <v>1101021</v>
      </c>
      <c r="I50" s="10">
        <v>1101021001</v>
      </c>
      <c r="J50" s="8" t="s">
        <v>134</v>
      </c>
      <c r="K50" s="8" t="s">
        <v>135</v>
      </c>
      <c r="L50" s="8" t="s">
        <v>190</v>
      </c>
      <c r="M50" s="8" t="s">
        <v>191</v>
      </c>
      <c r="N50" s="8">
        <v>273</v>
      </c>
    </row>
    <row r="51" spans="1:14" ht="15.95" customHeight="1" x14ac:dyDescent="0.25">
      <c r="A51" s="1" t="s">
        <v>4</v>
      </c>
      <c r="B51" s="1" t="s">
        <v>5</v>
      </c>
      <c r="C51" s="3" t="s">
        <v>188</v>
      </c>
      <c r="D51" s="1" t="s">
        <v>58</v>
      </c>
      <c r="E51" s="2">
        <v>831</v>
      </c>
      <c r="F51" s="10">
        <v>11</v>
      </c>
      <c r="G51" s="10">
        <v>1101</v>
      </c>
      <c r="H51" s="10">
        <v>1101021</v>
      </c>
      <c r="I51" s="10">
        <v>1101021002</v>
      </c>
      <c r="J51" s="8" t="s">
        <v>134</v>
      </c>
      <c r="K51" s="8" t="s">
        <v>135</v>
      </c>
      <c r="L51" s="8" t="s">
        <v>190</v>
      </c>
      <c r="M51" s="8" t="s">
        <v>192</v>
      </c>
      <c r="N51" s="8">
        <v>831</v>
      </c>
    </row>
    <row r="52" spans="1:14" ht="15.95" customHeight="1" x14ac:dyDescent="0.25">
      <c r="A52" s="1" t="s">
        <v>4</v>
      </c>
      <c r="B52" s="1" t="s">
        <v>5</v>
      </c>
      <c r="C52" s="3" t="s">
        <v>188</v>
      </c>
      <c r="D52" s="1" t="s">
        <v>59</v>
      </c>
      <c r="E52" s="2">
        <v>383</v>
      </c>
      <c r="F52" s="10">
        <v>11</v>
      </c>
      <c r="G52" s="10">
        <v>1101</v>
      </c>
      <c r="H52" s="10">
        <v>1101021</v>
      </c>
      <c r="I52" s="10">
        <v>1101021003</v>
      </c>
      <c r="J52" s="8" t="s">
        <v>134</v>
      </c>
      <c r="K52" s="8" t="s">
        <v>135</v>
      </c>
      <c r="L52" s="8" t="s">
        <v>190</v>
      </c>
      <c r="M52" s="8" t="s">
        <v>193</v>
      </c>
      <c r="N52" s="8">
        <v>383</v>
      </c>
    </row>
    <row r="53" spans="1:14" ht="15.95" customHeight="1" x14ac:dyDescent="0.25">
      <c r="A53" s="1" t="s">
        <v>4</v>
      </c>
      <c r="B53" s="1" t="s">
        <v>5</v>
      </c>
      <c r="C53" s="3" t="s">
        <v>188</v>
      </c>
      <c r="D53" s="1" t="s">
        <v>60</v>
      </c>
      <c r="E53" s="2">
        <v>521</v>
      </c>
      <c r="F53" s="10">
        <v>11</v>
      </c>
      <c r="G53" s="10">
        <v>1101</v>
      </c>
      <c r="H53" s="10">
        <v>1101021</v>
      </c>
      <c r="I53" s="10">
        <v>1101021004</v>
      </c>
      <c r="J53" s="8" t="s">
        <v>134</v>
      </c>
      <c r="K53" s="8" t="s">
        <v>135</v>
      </c>
      <c r="L53" s="8" t="s">
        <v>190</v>
      </c>
      <c r="M53" s="8" t="s">
        <v>194</v>
      </c>
      <c r="N53" s="8">
        <v>521</v>
      </c>
    </row>
    <row r="54" spans="1:14" ht="15.95" customHeight="1" x14ac:dyDescent="0.25">
      <c r="A54" s="1" t="s">
        <v>4</v>
      </c>
      <c r="B54" s="1" t="s">
        <v>5</v>
      </c>
      <c r="C54" s="3" t="s">
        <v>188</v>
      </c>
      <c r="D54" s="1" t="s">
        <v>61</v>
      </c>
      <c r="E54" s="2">
        <v>456</v>
      </c>
      <c r="F54" s="10">
        <v>11</v>
      </c>
      <c r="G54" s="10">
        <v>1101</v>
      </c>
      <c r="H54" s="10">
        <v>1101021</v>
      </c>
      <c r="I54" s="10">
        <v>1101021005</v>
      </c>
      <c r="J54" s="8" t="s">
        <v>134</v>
      </c>
      <c r="K54" s="8" t="s">
        <v>135</v>
      </c>
      <c r="L54" s="8" t="s">
        <v>190</v>
      </c>
      <c r="M54" s="8" t="s">
        <v>195</v>
      </c>
      <c r="N54" s="8">
        <v>456</v>
      </c>
    </row>
    <row r="55" spans="1:14" ht="15.95" customHeight="1" x14ac:dyDescent="0.25">
      <c r="A55" s="1" t="s">
        <v>4</v>
      </c>
      <c r="B55" s="1" t="s">
        <v>5</v>
      </c>
      <c r="C55" s="3" t="s">
        <v>188</v>
      </c>
      <c r="D55" s="1" t="s">
        <v>62</v>
      </c>
      <c r="E55" s="2">
        <v>318</v>
      </c>
      <c r="F55" s="10">
        <v>11</v>
      </c>
      <c r="G55" s="10">
        <v>1101</v>
      </c>
      <c r="H55" s="10">
        <v>1101021</v>
      </c>
      <c r="I55" s="10">
        <v>1101021006</v>
      </c>
      <c r="J55" s="8" t="s">
        <v>134</v>
      </c>
      <c r="K55" s="8" t="s">
        <v>135</v>
      </c>
      <c r="L55" s="8" t="s">
        <v>190</v>
      </c>
      <c r="M55" s="8" t="s">
        <v>196</v>
      </c>
      <c r="N55" s="8">
        <v>318</v>
      </c>
    </row>
    <row r="56" spans="1:14" ht="15.95" customHeight="1" x14ac:dyDescent="0.25">
      <c r="A56" s="1" t="s">
        <v>4</v>
      </c>
      <c r="B56" s="1" t="s">
        <v>5</v>
      </c>
      <c r="C56" s="3" t="s">
        <v>188</v>
      </c>
      <c r="D56" s="1" t="s">
        <v>63</v>
      </c>
      <c r="E56" s="2">
        <v>689</v>
      </c>
      <c r="F56" s="10">
        <v>11</v>
      </c>
      <c r="G56" s="10">
        <v>1101</v>
      </c>
      <c r="H56" s="10">
        <v>1101021</v>
      </c>
      <c r="I56" s="10">
        <v>1101021007</v>
      </c>
      <c r="J56" s="8" t="s">
        <v>134</v>
      </c>
      <c r="K56" s="8" t="s">
        <v>135</v>
      </c>
      <c r="L56" s="8" t="s">
        <v>190</v>
      </c>
      <c r="M56" s="8" t="s">
        <v>197</v>
      </c>
      <c r="N56" s="8">
        <v>689</v>
      </c>
    </row>
    <row r="57" spans="1:14" ht="15.95" customHeight="1" x14ac:dyDescent="0.25">
      <c r="A57" s="1" t="s">
        <v>4</v>
      </c>
      <c r="B57" s="1" t="s">
        <v>5</v>
      </c>
      <c r="C57" s="3" t="s">
        <v>188</v>
      </c>
      <c r="D57" s="1" t="s">
        <v>64</v>
      </c>
      <c r="E57" s="2">
        <v>231</v>
      </c>
      <c r="F57" s="10">
        <v>11</v>
      </c>
      <c r="G57" s="10">
        <v>1101</v>
      </c>
      <c r="H57" s="10">
        <v>1101021</v>
      </c>
      <c r="I57" s="10">
        <v>1101021008</v>
      </c>
      <c r="J57" s="8" t="s">
        <v>134</v>
      </c>
      <c r="K57" s="8" t="s">
        <v>135</v>
      </c>
      <c r="L57" s="8" t="s">
        <v>190</v>
      </c>
      <c r="M57" s="8" t="s">
        <v>198</v>
      </c>
      <c r="N57" s="8">
        <v>231</v>
      </c>
    </row>
    <row r="58" spans="1:14" ht="15.95" customHeight="1" x14ac:dyDescent="0.25">
      <c r="A58" s="1" t="s">
        <v>4</v>
      </c>
      <c r="B58" s="1" t="s">
        <v>5</v>
      </c>
      <c r="C58" s="3" t="s">
        <v>188</v>
      </c>
      <c r="D58" s="1" t="s">
        <v>65</v>
      </c>
      <c r="E58" s="2">
        <v>519</v>
      </c>
      <c r="F58" s="10">
        <v>11</v>
      </c>
      <c r="G58" s="10">
        <v>1101</v>
      </c>
      <c r="H58" s="10">
        <v>1101021</v>
      </c>
      <c r="I58" s="10">
        <v>1101021009</v>
      </c>
      <c r="J58" s="8" t="s">
        <v>134</v>
      </c>
      <c r="K58" s="8" t="s">
        <v>135</v>
      </c>
      <c r="L58" s="8" t="s">
        <v>190</v>
      </c>
      <c r="M58" s="8" t="s">
        <v>199</v>
      </c>
      <c r="N58" s="8">
        <v>519</v>
      </c>
    </row>
    <row r="59" spans="1:14" ht="15.95" customHeight="1" x14ac:dyDescent="0.25">
      <c r="A59" s="1" t="s">
        <v>4</v>
      </c>
      <c r="B59" s="1" t="s">
        <v>5</v>
      </c>
      <c r="C59" s="3" t="s">
        <v>188</v>
      </c>
      <c r="D59" s="1" t="s">
        <v>66</v>
      </c>
      <c r="E59" s="2">
        <v>169</v>
      </c>
      <c r="F59" s="10">
        <v>11</v>
      </c>
      <c r="G59" s="10">
        <v>1101</v>
      </c>
      <c r="H59" s="10">
        <v>1101021</v>
      </c>
      <c r="I59" s="10">
        <v>1101021010</v>
      </c>
      <c r="J59" s="8" t="s">
        <v>134</v>
      </c>
      <c r="K59" s="8" t="s">
        <v>135</v>
      </c>
      <c r="L59" s="8" t="s">
        <v>190</v>
      </c>
      <c r="M59" s="8" t="s">
        <v>200</v>
      </c>
      <c r="N59" s="8">
        <v>169</v>
      </c>
    </row>
    <row r="60" spans="1:14" ht="15.95" customHeight="1" x14ac:dyDescent="0.25">
      <c r="A60" s="1" t="s">
        <v>4</v>
      </c>
      <c r="B60" s="1" t="s">
        <v>5</v>
      </c>
      <c r="C60" s="3" t="s">
        <v>188</v>
      </c>
      <c r="D60" s="1" t="s">
        <v>67</v>
      </c>
      <c r="E60" s="2">
        <v>526</v>
      </c>
      <c r="F60" s="10">
        <v>11</v>
      </c>
      <c r="G60" s="10">
        <v>1101</v>
      </c>
      <c r="H60" s="10">
        <v>1101021</v>
      </c>
      <c r="I60" s="10">
        <v>1101021011</v>
      </c>
      <c r="J60" s="8" t="s">
        <v>134</v>
      </c>
      <c r="K60" s="8" t="s">
        <v>135</v>
      </c>
      <c r="L60" s="8" t="s">
        <v>190</v>
      </c>
      <c r="M60" s="8" t="s">
        <v>201</v>
      </c>
      <c r="N60" s="8">
        <v>526</v>
      </c>
    </row>
    <row r="61" spans="1:14" ht="15.95" customHeight="1" x14ac:dyDescent="0.25">
      <c r="A61" s="1" t="s">
        <v>4</v>
      </c>
      <c r="B61" s="1" t="s">
        <v>5</v>
      </c>
      <c r="C61" s="3" t="s">
        <v>188</v>
      </c>
      <c r="D61" s="1" t="s">
        <v>68</v>
      </c>
      <c r="E61" s="2">
        <v>497</v>
      </c>
      <c r="F61" s="10">
        <v>11</v>
      </c>
      <c r="G61" s="10">
        <v>1101</v>
      </c>
      <c r="H61" s="10">
        <v>1101021</v>
      </c>
      <c r="I61" s="10">
        <v>1101021012</v>
      </c>
      <c r="J61" s="8" t="s">
        <v>134</v>
      </c>
      <c r="K61" s="8" t="s">
        <v>135</v>
      </c>
      <c r="L61" s="8" t="s">
        <v>190</v>
      </c>
      <c r="M61" s="8" t="s">
        <v>202</v>
      </c>
      <c r="N61" s="8">
        <v>497</v>
      </c>
    </row>
    <row r="62" spans="1:14" ht="15.95" customHeight="1" x14ac:dyDescent="0.25">
      <c r="A62" s="1" t="s">
        <v>4</v>
      </c>
      <c r="B62" s="1" t="s">
        <v>5</v>
      </c>
      <c r="C62" s="3" t="s">
        <v>188</v>
      </c>
      <c r="D62" s="1" t="s">
        <v>69</v>
      </c>
      <c r="E62" s="2">
        <v>272</v>
      </c>
      <c r="F62" s="10">
        <v>11</v>
      </c>
      <c r="G62" s="10">
        <v>1101</v>
      </c>
      <c r="H62" s="10">
        <v>1101021</v>
      </c>
      <c r="I62" s="10">
        <v>1101021013</v>
      </c>
      <c r="J62" s="8" t="s">
        <v>134</v>
      </c>
      <c r="K62" s="8" t="s">
        <v>135</v>
      </c>
      <c r="L62" s="8" t="s">
        <v>190</v>
      </c>
      <c r="M62" s="8" t="s">
        <v>203</v>
      </c>
      <c r="N62" s="8">
        <v>272</v>
      </c>
    </row>
    <row r="63" spans="1:14" ht="15.95" customHeight="1" x14ac:dyDescent="0.25">
      <c r="A63" s="1" t="s">
        <v>4</v>
      </c>
      <c r="B63" s="1" t="s">
        <v>5</v>
      </c>
      <c r="C63" s="3" t="s">
        <v>188</v>
      </c>
      <c r="D63" s="1" t="s">
        <v>70</v>
      </c>
      <c r="E63" s="2">
        <v>225</v>
      </c>
      <c r="F63" s="10">
        <v>11</v>
      </c>
      <c r="G63" s="10">
        <v>1101</v>
      </c>
      <c r="H63" s="10">
        <v>1101021</v>
      </c>
      <c r="I63" s="10">
        <v>1101021014</v>
      </c>
      <c r="J63" s="8" t="s">
        <v>134</v>
      </c>
      <c r="K63" s="8" t="s">
        <v>135</v>
      </c>
      <c r="L63" s="8" t="s">
        <v>190</v>
      </c>
      <c r="M63" s="8" t="s">
        <v>204</v>
      </c>
      <c r="N63" s="8">
        <v>225</v>
      </c>
    </row>
    <row r="64" spans="1:14" ht="15.95" customHeight="1" x14ac:dyDescent="0.25">
      <c r="A64" s="1" t="s">
        <v>4</v>
      </c>
      <c r="B64" s="1" t="s">
        <v>5</v>
      </c>
      <c r="C64" s="3" t="s">
        <v>188</v>
      </c>
      <c r="D64" s="1" t="s">
        <v>71</v>
      </c>
      <c r="E64" s="2">
        <v>423</v>
      </c>
      <c r="F64" s="10">
        <v>11</v>
      </c>
      <c r="G64" s="10">
        <v>1101</v>
      </c>
      <c r="H64" s="10">
        <v>1101021</v>
      </c>
      <c r="I64" s="10">
        <v>1101021015</v>
      </c>
      <c r="J64" s="8" t="s">
        <v>134</v>
      </c>
      <c r="K64" s="8" t="s">
        <v>135</v>
      </c>
      <c r="L64" s="8" t="s">
        <v>190</v>
      </c>
      <c r="M64" s="8" t="s">
        <v>205</v>
      </c>
      <c r="N64" s="8">
        <v>423</v>
      </c>
    </row>
    <row r="65" spans="1:14" ht="15.95" customHeight="1" x14ac:dyDescent="0.25">
      <c r="A65" s="1" t="s">
        <v>4</v>
      </c>
      <c r="B65" s="1" t="s">
        <v>5</v>
      </c>
      <c r="C65" s="3" t="s">
        <v>188</v>
      </c>
      <c r="D65" s="1" t="s">
        <v>72</v>
      </c>
      <c r="E65" s="2">
        <v>287</v>
      </c>
      <c r="F65" s="10">
        <v>11</v>
      </c>
      <c r="G65" s="10">
        <v>1101</v>
      </c>
      <c r="H65" s="10">
        <v>1101021</v>
      </c>
      <c r="I65" s="10">
        <v>1101021016</v>
      </c>
      <c r="J65" s="8" t="s">
        <v>134</v>
      </c>
      <c r="K65" s="8" t="s">
        <v>135</v>
      </c>
      <c r="L65" s="8" t="s">
        <v>190</v>
      </c>
      <c r="M65" s="8" t="s">
        <v>206</v>
      </c>
      <c r="N65" s="8">
        <v>287</v>
      </c>
    </row>
    <row r="66" spans="1:14" ht="15.95" customHeight="1" x14ac:dyDescent="0.25">
      <c r="A66" s="1" t="s">
        <v>4</v>
      </c>
      <c r="B66" s="1" t="s">
        <v>5</v>
      </c>
      <c r="C66" s="3" t="s">
        <v>188</v>
      </c>
      <c r="D66" s="1" t="s">
        <v>73</v>
      </c>
      <c r="E66" s="2">
        <v>395</v>
      </c>
      <c r="F66" s="10">
        <v>11</v>
      </c>
      <c r="G66" s="10">
        <v>1101</v>
      </c>
      <c r="H66" s="10">
        <v>1101021</v>
      </c>
      <c r="I66" s="10">
        <v>1101021017</v>
      </c>
      <c r="J66" s="8" t="s">
        <v>134</v>
      </c>
      <c r="K66" s="8" t="s">
        <v>135</v>
      </c>
      <c r="L66" s="8" t="s">
        <v>190</v>
      </c>
      <c r="M66" s="8" t="s">
        <v>207</v>
      </c>
      <c r="N66" s="8">
        <v>395</v>
      </c>
    </row>
    <row r="67" spans="1:14" ht="15.95" customHeight="1" x14ac:dyDescent="0.25">
      <c r="A67" s="1" t="s">
        <v>4</v>
      </c>
      <c r="B67" s="1" t="s">
        <v>5</v>
      </c>
      <c r="C67" s="3" t="s">
        <v>188</v>
      </c>
      <c r="D67" s="1" t="s">
        <v>74</v>
      </c>
      <c r="E67" s="2">
        <v>254</v>
      </c>
      <c r="F67" s="10">
        <v>11</v>
      </c>
      <c r="G67" s="10">
        <v>1101</v>
      </c>
      <c r="H67" s="10">
        <v>1101021</v>
      </c>
      <c r="I67" s="10">
        <v>1101021018</v>
      </c>
      <c r="J67" s="8" t="s">
        <v>134</v>
      </c>
      <c r="K67" s="8" t="s">
        <v>135</v>
      </c>
      <c r="L67" s="8" t="s">
        <v>190</v>
      </c>
      <c r="M67" s="8" t="s">
        <v>208</v>
      </c>
      <c r="N67" s="8">
        <v>254</v>
      </c>
    </row>
    <row r="68" spans="1:14" ht="15.95" customHeight="1" x14ac:dyDescent="0.25">
      <c r="A68" s="1" t="s">
        <v>4</v>
      </c>
      <c r="B68" s="1" t="s">
        <v>5</v>
      </c>
      <c r="C68" s="3" t="s">
        <v>209</v>
      </c>
      <c r="D68" s="3" t="s">
        <v>210</v>
      </c>
      <c r="E68" s="4">
        <v>332</v>
      </c>
      <c r="F68" s="10">
        <v>11</v>
      </c>
      <c r="G68" s="10">
        <v>1101</v>
      </c>
      <c r="H68" s="10">
        <v>1101030</v>
      </c>
      <c r="I68" s="10">
        <v>1101030001</v>
      </c>
      <c r="J68" s="8" t="s">
        <v>134</v>
      </c>
      <c r="K68" s="8" t="s">
        <v>135</v>
      </c>
      <c r="L68" s="8" t="s">
        <v>211</v>
      </c>
      <c r="M68" s="8" t="s">
        <v>212</v>
      </c>
      <c r="N68" s="8">
        <v>332</v>
      </c>
    </row>
    <row r="69" spans="1:14" ht="15.95" customHeight="1" x14ac:dyDescent="0.25">
      <c r="A69" s="1" t="s">
        <v>4</v>
      </c>
      <c r="B69" s="1" t="s">
        <v>5</v>
      </c>
      <c r="C69" s="3" t="s">
        <v>209</v>
      </c>
      <c r="D69" s="1" t="s">
        <v>77</v>
      </c>
      <c r="E69" s="2">
        <v>635</v>
      </c>
      <c r="F69" s="10">
        <v>11</v>
      </c>
      <c r="G69" s="10">
        <v>1101</v>
      </c>
      <c r="H69" s="10">
        <v>1101030</v>
      </c>
      <c r="I69" s="10">
        <v>1101030002</v>
      </c>
      <c r="J69" s="8" t="s">
        <v>134</v>
      </c>
      <c r="K69" s="8" t="s">
        <v>135</v>
      </c>
      <c r="L69" s="8" t="s">
        <v>211</v>
      </c>
      <c r="M69" s="8" t="s">
        <v>213</v>
      </c>
      <c r="N69" s="8">
        <v>635</v>
      </c>
    </row>
    <row r="70" spans="1:14" ht="15.95" customHeight="1" x14ac:dyDescent="0.25">
      <c r="A70" s="1" t="s">
        <v>4</v>
      </c>
      <c r="B70" s="1" t="s">
        <v>5</v>
      </c>
      <c r="C70" s="3" t="s">
        <v>209</v>
      </c>
      <c r="D70" s="1" t="s">
        <v>78</v>
      </c>
      <c r="E70" s="2">
        <v>517</v>
      </c>
      <c r="F70" s="10">
        <v>11</v>
      </c>
      <c r="G70" s="10">
        <v>1101</v>
      </c>
      <c r="H70" s="10">
        <v>1101030</v>
      </c>
      <c r="I70" s="10">
        <v>1101030003</v>
      </c>
      <c r="J70" s="8" t="s">
        <v>134</v>
      </c>
      <c r="K70" s="8" t="s">
        <v>135</v>
      </c>
      <c r="L70" s="8" t="s">
        <v>211</v>
      </c>
      <c r="M70" s="8" t="s">
        <v>214</v>
      </c>
      <c r="N70" s="8">
        <v>517</v>
      </c>
    </row>
    <row r="71" spans="1:14" ht="15.95" customHeight="1" x14ac:dyDescent="0.25">
      <c r="A71" s="1" t="s">
        <v>4</v>
      </c>
      <c r="B71" s="1" t="s">
        <v>5</v>
      </c>
      <c r="C71" s="3" t="s">
        <v>209</v>
      </c>
      <c r="D71" s="1" t="s">
        <v>79</v>
      </c>
      <c r="E71" s="2">
        <v>335</v>
      </c>
      <c r="F71" s="10">
        <v>11</v>
      </c>
      <c r="G71" s="10">
        <v>1101</v>
      </c>
      <c r="H71" s="10">
        <v>1101030</v>
      </c>
      <c r="I71" s="10">
        <v>1101030004</v>
      </c>
      <c r="J71" s="8" t="s">
        <v>134</v>
      </c>
      <c r="K71" s="8" t="s">
        <v>135</v>
      </c>
      <c r="L71" s="8" t="s">
        <v>211</v>
      </c>
      <c r="M71" s="8" t="s">
        <v>215</v>
      </c>
      <c r="N71" s="8">
        <v>335</v>
      </c>
    </row>
    <row r="72" spans="1:14" ht="15.95" customHeight="1" x14ac:dyDescent="0.25">
      <c r="A72" s="1" t="s">
        <v>4</v>
      </c>
      <c r="B72" s="1" t="s">
        <v>5</v>
      </c>
      <c r="C72" s="3" t="s">
        <v>209</v>
      </c>
      <c r="D72" s="1" t="s">
        <v>80</v>
      </c>
      <c r="E72" s="5">
        <v>1639</v>
      </c>
      <c r="F72" s="10">
        <v>11</v>
      </c>
      <c r="G72" s="10">
        <v>1101</v>
      </c>
      <c r="H72" s="10">
        <v>1101030</v>
      </c>
      <c r="I72" s="10">
        <v>1101030005</v>
      </c>
      <c r="J72" s="8" t="s">
        <v>134</v>
      </c>
      <c r="K72" s="8" t="s">
        <v>135</v>
      </c>
      <c r="L72" s="8" t="s">
        <v>211</v>
      </c>
      <c r="M72" s="8" t="s">
        <v>216</v>
      </c>
      <c r="N72" s="8">
        <v>1639</v>
      </c>
    </row>
    <row r="73" spans="1:14" ht="15.95" customHeight="1" x14ac:dyDescent="0.25">
      <c r="A73" s="1" t="s">
        <v>4</v>
      </c>
      <c r="B73" s="1" t="s">
        <v>5</v>
      </c>
      <c r="C73" s="3" t="s">
        <v>209</v>
      </c>
      <c r="D73" s="1" t="s">
        <v>81</v>
      </c>
      <c r="E73" s="2">
        <v>138</v>
      </c>
      <c r="F73" s="10">
        <v>11</v>
      </c>
      <c r="G73" s="10">
        <v>1101</v>
      </c>
      <c r="H73" s="10">
        <v>1101030</v>
      </c>
      <c r="I73" s="10">
        <v>1101030006</v>
      </c>
      <c r="J73" s="8" t="s">
        <v>134</v>
      </c>
      <c r="K73" s="8" t="s">
        <v>135</v>
      </c>
      <c r="L73" s="8" t="s">
        <v>211</v>
      </c>
      <c r="M73" s="8" t="s">
        <v>217</v>
      </c>
      <c r="N73" s="8">
        <v>138</v>
      </c>
    </row>
    <row r="74" spans="1:14" ht="15.95" customHeight="1" x14ac:dyDescent="0.25">
      <c r="A74" s="1" t="s">
        <v>4</v>
      </c>
      <c r="B74" s="1" t="s">
        <v>5</v>
      </c>
      <c r="C74" s="3" t="s">
        <v>209</v>
      </c>
      <c r="D74" s="1" t="s">
        <v>82</v>
      </c>
      <c r="E74" s="2">
        <v>146</v>
      </c>
      <c r="F74" s="10">
        <v>11</v>
      </c>
      <c r="G74" s="10">
        <v>1101</v>
      </c>
      <c r="H74" s="10">
        <v>1101030</v>
      </c>
      <c r="I74" s="10">
        <v>1101030007</v>
      </c>
      <c r="J74" s="8" t="s">
        <v>134</v>
      </c>
      <c r="K74" s="8" t="s">
        <v>135</v>
      </c>
      <c r="L74" s="8" t="s">
        <v>211</v>
      </c>
      <c r="M74" s="8" t="s">
        <v>218</v>
      </c>
      <c r="N74" s="8">
        <v>146</v>
      </c>
    </row>
    <row r="75" spans="1:14" ht="15.95" customHeight="1" x14ac:dyDescent="0.25">
      <c r="A75" s="1" t="s">
        <v>4</v>
      </c>
      <c r="B75" s="1" t="s">
        <v>5</v>
      </c>
      <c r="C75" s="3" t="s">
        <v>209</v>
      </c>
      <c r="D75" s="1" t="s">
        <v>83</v>
      </c>
      <c r="E75" s="2">
        <v>145</v>
      </c>
      <c r="F75" s="10">
        <v>11</v>
      </c>
      <c r="G75" s="10">
        <v>1101</v>
      </c>
      <c r="H75" s="10">
        <v>1101030</v>
      </c>
      <c r="I75" s="10">
        <v>1101030008</v>
      </c>
      <c r="J75" s="8" t="s">
        <v>134</v>
      </c>
      <c r="K75" s="8" t="s">
        <v>135</v>
      </c>
      <c r="L75" s="8" t="s">
        <v>211</v>
      </c>
      <c r="M75" s="8" t="s">
        <v>219</v>
      </c>
      <c r="N75" s="8">
        <v>145</v>
      </c>
    </row>
    <row r="76" spans="1:14" ht="15.95" customHeight="1" x14ac:dyDescent="0.25">
      <c r="A76" s="1" t="s">
        <v>4</v>
      </c>
      <c r="B76" s="1" t="s">
        <v>5</v>
      </c>
      <c r="C76" s="3" t="s">
        <v>209</v>
      </c>
      <c r="D76" s="1" t="s">
        <v>84</v>
      </c>
      <c r="E76" s="2">
        <v>297</v>
      </c>
      <c r="F76" s="10">
        <v>11</v>
      </c>
      <c r="G76" s="10">
        <v>1101</v>
      </c>
      <c r="H76" s="10">
        <v>1101030</v>
      </c>
      <c r="I76" s="10">
        <v>1101030009</v>
      </c>
      <c r="J76" s="8" t="s">
        <v>134</v>
      </c>
      <c r="K76" s="8" t="s">
        <v>135</v>
      </c>
      <c r="L76" s="8" t="s">
        <v>211</v>
      </c>
      <c r="M76" s="8" t="s">
        <v>220</v>
      </c>
      <c r="N76" s="8">
        <v>297</v>
      </c>
    </row>
    <row r="77" spans="1:14" ht="15.95" customHeight="1" x14ac:dyDescent="0.25">
      <c r="A77" s="1" t="s">
        <v>4</v>
      </c>
      <c r="B77" s="1" t="s">
        <v>5</v>
      </c>
      <c r="C77" s="3" t="s">
        <v>209</v>
      </c>
      <c r="D77" s="1" t="s">
        <v>85</v>
      </c>
      <c r="E77" s="2">
        <v>300</v>
      </c>
      <c r="F77" s="10">
        <v>11</v>
      </c>
      <c r="G77" s="10">
        <v>1101</v>
      </c>
      <c r="H77" s="10">
        <v>1101030</v>
      </c>
      <c r="I77" s="10">
        <v>1101030010</v>
      </c>
      <c r="J77" s="8" t="s">
        <v>134</v>
      </c>
      <c r="K77" s="8" t="s">
        <v>135</v>
      </c>
      <c r="L77" s="8" t="s">
        <v>211</v>
      </c>
      <c r="M77" s="8" t="s">
        <v>221</v>
      </c>
      <c r="N77" s="8">
        <v>300</v>
      </c>
    </row>
    <row r="78" spans="1:14" ht="15.95" customHeight="1" x14ac:dyDescent="0.25">
      <c r="A78" s="1" t="s">
        <v>4</v>
      </c>
      <c r="B78" s="1" t="s">
        <v>5</v>
      </c>
      <c r="C78" s="3" t="s">
        <v>209</v>
      </c>
      <c r="D78" s="1" t="s">
        <v>86</v>
      </c>
      <c r="E78" s="2">
        <v>487</v>
      </c>
      <c r="F78" s="10">
        <v>11</v>
      </c>
      <c r="G78" s="10">
        <v>1101</v>
      </c>
      <c r="H78" s="10">
        <v>1101030</v>
      </c>
      <c r="I78" s="10">
        <v>1101030011</v>
      </c>
      <c r="J78" s="8" t="s">
        <v>134</v>
      </c>
      <c r="K78" s="8" t="s">
        <v>135</v>
      </c>
      <c r="L78" s="8" t="s">
        <v>211</v>
      </c>
      <c r="M78" s="8" t="s">
        <v>222</v>
      </c>
      <c r="N78" s="8">
        <v>487</v>
      </c>
    </row>
    <row r="79" spans="1:14" ht="15.95" customHeight="1" x14ac:dyDescent="0.25">
      <c r="A79" s="1" t="s">
        <v>4</v>
      </c>
      <c r="B79" s="1" t="s">
        <v>5</v>
      </c>
      <c r="C79" s="3" t="s">
        <v>209</v>
      </c>
      <c r="D79" s="1" t="s">
        <v>87</v>
      </c>
      <c r="E79" s="2">
        <v>351</v>
      </c>
      <c r="F79" s="10">
        <v>11</v>
      </c>
      <c r="G79" s="10">
        <v>1101</v>
      </c>
      <c r="H79" s="10">
        <v>1101030</v>
      </c>
      <c r="I79" s="10">
        <v>1101030012</v>
      </c>
      <c r="J79" s="8" t="s">
        <v>134</v>
      </c>
      <c r="K79" s="8" t="s">
        <v>135</v>
      </c>
      <c r="L79" s="8" t="s">
        <v>211</v>
      </c>
      <c r="M79" s="8" t="s">
        <v>223</v>
      </c>
      <c r="N79" s="8">
        <v>351</v>
      </c>
    </row>
    <row r="80" spans="1:14" ht="15.95" customHeight="1" x14ac:dyDescent="0.25">
      <c r="A80" s="1" t="s">
        <v>4</v>
      </c>
      <c r="B80" s="1" t="s">
        <v>5</v>
      </c>
      <c r="C80" s="3" t="s">
        <v>209</v>
      </c>
      <c r="D80" s="1" t="s">
        <v>88</v>
      </c>
      <c r="E80" s="2">
        <v>418</v>
      </c>
      <c r="F80" s="10">
        <v>11</v>
      </c>
      <c r="G80" s="10">
        <v>1101</v>
      </c>
      <c r="H80" s="10">
        <v>1101030</v>
      </c>
      <c r="I80" s="10">
        <v>1101030013</v>
      </c>
      <c r="J80" s="8" t="s">
        <v>134</v>
      </c>
      <c r="K80" s="8" t="s">
        <v>135</v>
      </c>
      <c r="L80" s="8" t="s">
        <v>211</v>
      </c>
      <c r="M80" s="8" t="s">
        <v>224</v>
      </c>
      <c r="N80" s="8">
        <v>418</v>
      </c>
    </row>
    <row r="81" spans="1:14" ht="15.95" customHeight="1" x14ac:dyDescent="0.25">
      <c r="A81" s="1" t="s">
        <v>4</v>
      </c>
      <c r="B81" s="1" t="s">
        <v>5</v>
      </c>
      <c r="C81" s="3" t="s">
        <v>209</v>
      </c>
      <c r="D81" s="1" t="s">
        <v>89</v>
      </c>
      <c r="E81" s="2">
        <v>330</v>
      </c>
      <c r="F81" s="10">
        <v>11</v>
      </c>
      <c r="G81" s="10">
        <v>1101</v>
      </c>
      <c r="H81" s="10">
        <v>1101030</v>
      </c>
      <c r="I81" s="10">
        <v>1101030014</v>
      </c>
      <c r="J81" s="8" t="s">
        <v>134</v>
      </c>
      <c r="K81" s="8" t="s">
        <v>135</v>
      </c>
      <c r="L81" s="8" t="s">
        <v>211</v>
      </c>
      <c r="M81" s="8" t="s">
        <v>225</v>
      </c>
      <c r="N81" s="8">
        <v>330</v>
      </c>
    </row>
    <row r="82" spans="1:14" ht="15.95" customHeight="1" x14ac:dyDescent="0.25">
      <c r="A82" s="1" t="s">
        <v>4</v>
      </c>
      <c r="B82" s="1" t="s">
        <v>5</v>
      </c>
      <c r="C82" s="3" t="s">
        <v>209</v>
      </c>
      <c r="D82" s="1" t="s">
        <v>90</v>
      </c>
      <c r="E82" s="2">
        <v>408</v>
      </c>
      <c r="F82" s="10">
        <v>11</v>
      </c>
      <c r="G82" s="10">
        <v>1101</v>
      </c>
      <c r="H82" s="10">
        <v>1101030</v>
      </c>
      <c r="I82" s="10">
        <v>1101030015</v>
      </c>
      <c r="J82" s="8" t="s">
        <v>134</v>
      </c>
      <c r="K82" s="8" t="s">
        <v>135</v>
      </c>
      <c r="L82" s="8" t="s">
        <v>211</v>
      </c>
      <c r="M82" s="8" t="s">
        <v>226</v>
      </c>
      <c r="N82" s="8">
        <v>408</v>
      </c>
    </row>
    <row r="83" spans="1:14" ht="15.95" customHeight="1" x14ac:dyDescent="0.25">
      <c r="A83" s="1" t="s">
        <v>4</v>
      </c>
      <c r="B83" s="1" t="s">
        <v>5</v>
      </c>
      <c r="C83" s="3" t="s">
        <v>209</v>
      </c>
      <c r="D83" s="1" t="s">
        <v>91</v>
      </c>
      <c r="E83" s="2">
        <v>321</v>
      </c>
      <c r="F83" s="10">
        <v>11</v>
      </c>
      <c r="G83" s="10">
        <v>1101</v>
      </c>
      <c r="H83" s="10">
        <v>1101030</v>
      </c>
      <c r="I83" s="10">
        <v>1101030016</v>
      </c>
      <c r="J83" s="8" t="s">
        <v>134</v>
      </c>
      <c r="K83" s="8" t="s">
        <v>135</v>
      </c>
      <c r="L83" s="8" t="s">
        <v>211</v>
      </c>
      <c r="M83" s="8" t="s">
        <v>227</v>
      </c>
      <c r="N83" s="8">
        <v>321</v>
      </c>
    </row>
    <row r="84" spans="1:14" ht="15.95" customHeight="1" x14ac:dyDescent="0.25">
      <c r="A84" s="1" t="s">
        <v>4</v>
      </c>
      <c r="B84" s="1" t="s">
        <v>5</v>
      </c>
      <c r="C84" s="3" t="s">
        <v>209</v>
      </c>
      <c r="D84" s="1" t="s">
        <v>92</v>
      </c>
      <c r="E84" s="2">
        <v>274</v>
      </c>
      <c r="F84" s="10">
        <v>11</v>
      </c>
      <c r="G84" s="10">
        <v>1101</v>
      </c>
      <c r="H84" s="10">
        <v>1101030</v>
      </c>
      <c r="I84" s="10">
        <v>1101030017</v>
      </c>
      <c r="J84" s="8" t="s">
        <v>134</v>
      </c>
      <c r="K84" s="8" t="s">
        <v>135</v>
      </c>
      <c r="L84" s="8" t="s">
        <v>211</v>
      </c>
      <c r="M84" s="8" t="s">
        <v>228</v>
      </c>
      <c r="N84" s="8">
        <v>274</v>
      </c>
    </row>
    <row r="85" spans="1:14" ht="15.95" customHeight="1" x14ac:dyDescent="0.25">
      <c r="A85" s="1" t="s">
        <v>4</v>
      </c>
      <c r="B85" s="1" t="s">
        <v>5</v>
      </c>
      <c r="C85" s="3" t="s">
        <v>209</v>
      </c>
      <c r="D85" s="1" t="s">
        <v>93</v>
      </c>
      <c r="E85" s="2">
        <v>281</v>
      </c>
      <c r="F85" s="10">
        <v>11</v>
      </c>
      <c r="G85" s="10">
        <v>1101</v>
      </c>
      <c r="H85" s="10">
        <v>1101030</v>
      </c>
      <c r="I85" s="10">
        <v>1101030020</v>
      </c>
      <c r="J85" s="8" t="s">
        <v>134</v>
      </c>
      <c r="K85" s="8" t="s">
        <v>135</v>
      </c>
      <c r="L85" s="8" t="s">
        <v>211</v>
      </c>
      <c r="M85" s="8" t="s">
        <v>229</v>
      </c>
      <c r="N85" s="8">
        <v>281</v>
      </c>
    </row>
    <row r="86" spans="1:14" ht="15.95" customHeight="1" x14ac:dyDescent="0.25">
      <c r="A86" s="1" t="s">
        <v>4</v>
      </c>
      <c r="B86" s="1" t="s">
        <v>5</v>
      </c>
      <c r="C86" s="3" t="s">
        <v>209</v>
      </c>
      <c r="D86" s="1" t="s">
        <v>94</v>
      </c>
      <c r="E86" s="2">
        <v>299</v>
      </c>
      <c r="F86" s="10">
        <v>11</v>
      </c>
      <c r="G86" s="10">
        <v>1101</v>
      </c>
      <c r="H86" s="10">
        <v>1101030</v>
      </c>
      <c r="I86" s="10">
        <v>1101030021</v>
      </c>
      <c r="J86" s="8" t="s">
        <v>134</v>
      </c>
      <c r="K86" s="8" t="s">
        <v>135</v>
      </c>
      <c r="L86" s="8" t="s">
        <v>211</v>
      </c>
      <c r="M86" s="8" t="s">
        <v>230</v>
      </c>
      <c r="N86" s="8">
        <v>299</v>
      </c>
    </row>
    <row r="87" spans="1:14" ht="15.95" customHeight="1" x14ac:dyDescent="0.25">
      <c r="A87" s="1" t="s">
        <v>4</v>
      </c>
      <c r="B87" s="1" t="s">
        <v>5</v>
      </c>
      <c r="C87" s="3" t="s">
        <v>209</v>
      </c>
      <c r="D87" s="1" t="s">
        <v>95</v>
      </c>
      <c r="E87" s="2">
        <v>474</v>
      </c>
      <c r="F87" s="10">
        <v>11</v>
      </c>
      <c r="G87" s="10">
        <v>1101</v>
      </c>
      <c r="H87" s="10">
        <v>1101030</v>
      </c>
      <c r="I87" s="10">
        <v>1101030022</v>
      </c>
      <c r="J87" s="8" t="s">
        <v>134</v>
      </c>
      <c r="K87" s="8" t="s">
        <v>135</v>
      </c>
      <c r="L87" s="8" t="s">
        <v>211</v>
      </c>
      <c r="M87" s="8" t="s">
        <v>231</v>
      </c>
      <c r="N87" s="8">
        <v>474</v>
      </c>
    </row>
    <row r="88" spans="1:14" ht="15.95" customHeight="1" x14ac:dyDescent="0.25">
      <c r="A88" s="1" t="s">
        <v>4</v>
      </c>
      <c r="B88" s="1" t="s">
        <v>5</v>
      </c>
      <c r="C88" s="3" t="s">
        <v>209</v>
      </c>
      <c r="D88" s="1" t="s">
        <v>96</v>
      </c>
      <c r="E88" s="2">
        <v>172</v>
      </c>
      <c r="F88" s="10">
        <v>11</v>
      </c>
      <c r="G88" s="10">
        <v>1101</v>
      </c>
      <c r="H88" s="10">
        <v>1101030</v>
      </c>
      <c r="I88" s="10">
        <v>1101030023</v>
      </c>
      <c r="J88" s="8" t="s">
        <v>134</v>
      </c>
      <c r="K88" s="8" t="s">
        <v>135</v>
      </c>
      <c r="L88" s="8" t="s">
        <v>211</v>
      </c>
      <c r="M88" s="8" t="s">
        <v>232</v>
      </c>
      <c r="N88" s="8">
        <v>172</v>
      </c>
    </row>
    <row r="89" spans="1:14" ht="15.95" customHeight="1" x14ac:dyDescent="0.25">
      <c r="A89" s="1" t="s">
        <v>4</v>
      </c>
      <c r="B89" s="1" t="s">
        <v>5</v>
      </c>
      <c r="C89" s="3" t="s">
        <v>209</v>
      </c>
      <c r="D89" s="1" t="s">
        <v>97</v>
      </c>
      <c r="E89" s="2">
        <v>186</v>
      </c>
      <c r="F89" s="10">
        <v>11</v>
      </c>
      <c r="G89" s="10">
        <v>1101</v>
      </c>
      <c r="H89" s="10">
        <v>1101030</v>
      </c>
      <c r="I89" s="10">
        <v>1101030024</v>
      </c>
      <c r="J89" s="8" t="s">
        <v>134</v>
      </c>
      <c r="K89" s="8" t="s">
        <v>135</v>
      </c>
      <c r="L89" s="8" t="s">
        <v>211</v>
      </c>
      <c r="M89" s="8" t="s">
        <v>233</v>
      </c>
      <c r="N89" s="8">
        <v>186</v>
      </c>
    </row>
    <row r="90" spans="1:14" ht="15.95" customHeight="1" x14ac:dyDescent="0.25">
      <c r="A90" s="1" t="s">
        <v>4</v>
      </c>
      <c r="B90" s="1" t="s">
        <v>5</v>
      </c>
      <c r="C90" s="3" t="s">
        <v>209</v>
      </c>
      <c r="D90" s="1" t="s">
        <v>98</v>
      </c>
      <c r="E90" s="2">
        <v>207</v>
      </c>
      <c r="F90" s="10">
        <v>11</v>
      </c>
      <c r="G90" s="10">
        <v>1101</v>
      </c>
      <c r="H90" s="10">
        <v>1101030</v>
      </c>
      <c r="I90" s="10">
        <v>1101030025</v>
      </c>
      <c r="J90" s="8" t="s">
        <v>134</v>
      </c>
      <c r="K90" s="8" t="s">
        <v>135</v>
      </c>
      <c r="L90" s="8" t="s">
        <v>211</v>
      </c>
      <c r="M90" s="8" t="s">
        <v>234</v>
      </c>
      <c r="N90" s="8">
        <v>207</v>
      </c>
    </row>
    <row r="91" spans="1:14" ht="15.95" customHeight="1" x14ac:dyDescent="0.25">
      <c r="A91" s="1" t="s">
        <v>4</v>
      </c>
      <c r="B91" s="1" t="s">
        <v>5</v>
      </c>
      <c r="C91" s="3" t="s">
        <v>209</v>
      </c>
      <c r="D91" s="1" t="s">
        <v>99</v>
      </c>
      <c r="E91" s="2">
        <v>318</v>
      </c>
      <c r="F91" s="10">
        <v>11</v>
      </c>
      <c r="G91" s="10">
        <v>1101</v>
      </c>
      <c r="H91" s="10">
        <v>1101030</v>
      </c>
      <c r="I91" s="10">
        <v>1101030026</v>
      </c>
      <c r="J91" s="8" t="s">
        <v>134</v>
      </c>
      <c r="K91" s="8" t="s">
        <v>135</v>
      </c>
      <c r="L91" s="8" t="s">
        <v>211</v>
      </c>
      <c r="M91" s="8" t="s">
        <v>235</v>
      </c>
      <c r="N91" s="8">
        <v>318</v>
      </c>
    </row>
    <row r="92" spans="1:14" ht="15.95" customHeight="1" x14ac:dyDescent="0.25">
      <c r="A92" s="1" t="s">
        <v>4</v>
      </c>
      <c r="B92" s="1" t="s">
        <v>5</v>
      </c>
      <c r="C92" s="3" t="s">
        <v>236</v>
      </c>
      <c r="D92" s="3" t="s">
        <v>237</v>
      </c>
      <c r="E92" s="4">
        <v>227</v>
      </c>
      <c r="F92" s="10">
        <v>11</v>
      </c>
      <c r="G92" s="10">
        <v>1101</v>
      </c>
      <c r="H92" s="10">
        <v>1101031</v>
      </c>
      <c r="I92" s="10">
        <v>1101031001</v>
      </c>
      <c r="J92" s="8" t="s">
        <v>134</v>
      </c>
      <c r="K92" s="8" t="s">
        <v>135</v>
      </c>
      <c r="L92" s="8" t="s">
        <v>238</v>
      </c>
      <c r="M92" s="8" t="s">
        <v>239</v>
      </c>
      <c r="N92" s="8">
        <v>227</v>
      </c>
    </row>
    <row r="93" spans="1:14" ht="15.95" customHeight="1" x14ac:dyDescent="0.25">
      <c r="A93" s="1" t="s">
        <v>4</v>
      </c>
      <c r="B93" s="1" t="s">
        <v>5</v>
      </c>
      <c r="C93" s="3" t="s">
        <v>236</v>
      </c>
      <c r="D93" s="1" t="s">
        <v>102</v>
      </c>
      <c r="E93" s="2">
        <v>390</v>
      </c>
      <c r="F93" s="10">
        <v>11</v>
      </c>
      <c r="G93" s="10">
        <v>1101</v>
      </c>
      <c r="H93" s="10">
        <v>1101031</v>
      </c>
      <c r="I93" s="10">
        <v>1101031002</v>
      </c>
      <c r="J93" s="8" t="s">
        <v>134</v>
      </c>
      <c r="K93" s="8" t="s">
        <v>135</v>
      </c>
      <c r="L93" s="8" t="s">
        <v>238</v>
      </c>
      <c r="M93" s="8" t="s">
        <v>240</v>
      </c>
      <c r="N93" s="8">
        <v>390</v>
      </c>
    </row>
    <row r="94" spans="1:14" ht="15.95" customHeight="1" x14ac:dyDescent="0.25">
      <c r="A94" s="1" t="s">
        <v>4</v>
      </c>
      <c r="B94" s="1" t="s">
        <v>5</v>
      </c>
      <c r="C94" s="3" t="s">
        <v>236</v>
      </c>
      <c r="D94" s="1" t="s">
        <v>103</v>
      </c>
      <c r="E94" s="2">
        <v>354</v>
      </c>
      <c r="F94" s="10">
        <v>11</v>
      </c>
      <c r="G94" s="10">
        <v>1101</v>
      </c>
      <c r="H94" s="10">
        <v>1101031</v>
      </c>
      <c r="I94" s="10">
        <v>1101031003</v>
      </c>
      <c r="J94" s="8" t="s">
        <v>134</v>
      </c>
      <c r="K94" s="8" t="s">
        <v>135</v>
      </c>
      <c r="L94" s="8" t="s">
        <v>238</v>
      </c>
      <c r="M94" s="8" t="s">
        <v>241</v>
      </c>
      <c r="N94" s="8">
        <v>354</v>
      </c>
    </row>
    <row r="95" spans="1:14" ht="15.95" customHeight="1" x14ac:dyDescent="0.25">
      <c r="A95" s="1" t="s">
        <v>4</v>
      </c>
      <c r="B95" s="1" t="s">
        <v>5</v>
      </c>
      <c r="C95" s="3" t="s">
        <v>236</v>
      </c>
      <c r="D95" s="1" t="s">
        <v>104</v>
      </c>
      <c r="E95" s="2">
        <v>458</v>
      </c>
      <c r="F95" s="10">
        <v>11</v>
      </c>
      <c r="G95" s="10">
        <v>1101</v>
      </c>
      <c r="H95" s="10">
        <v>1101031</v>
      </c>
      <c r="I95" s="10">
        <v>1101031004</v>
      </c>
      <c r="J95" s="8" t="s">
        <v>134</v>
      </c>
      <c r="K95" s="8" t="s">
        <v>135</v>
      </c>
      <c r="L95" s="8" t="s">
        <v>238</v>
      </c>
      <c r="M95" s="8" t="s">
        <v>242</v>
      </c>
      <c r="N95" s="8">
        <v>458</v>
      </c>
    </row>
    <row r="96" spans="1:14" ht="15.95" customHeight="1" x14ac:dyDescent="0.25">
      <c r="A96" s="1" t="s">
        <v>4</v>
      </c>
      <c r="B96" s="1" t="s">
        <v>5</v>
      </c>
      <c r="C96" s="3" t="s">
        <v>236</v>
      </c>
      <c r="D96" s="1" t="s">
        <v>105</v>
      </c>
      <c r="E96" s="2">
        <v>314</v>
      </c>
      <c r="F96" s="10">
        <v>11</v>
      </c>
      <c r="G96" s="10">
        <v>1101</v>
      </c>
      <c r="H96" s="10">
        <v>1101031</v>
      </c>
      <c r="I96" s="10">
        <v>1101031005</v>
      </c>
      <c r="J96" s="8" t="s">
        <v>134</v>
      </c>
      <c r="K96" s="8" t="s">
        <v>135</v>
      </c>
      <c r="L96" s="8" t="s">
        <v>238</v>
      </c>
      <c r="M96" s="8" t="s">
        <v>243</v>
      </c>
      <c r="N96" s="8">
        <v>314</v>
      </c>
    </row>
    <row r="97" spans="1:14" ht="15.95" customHeight="1" x14ac:dyDescent="0.25">
      <c r="A97" s="1" t="s">
        <v>4</v>
      </c>
      <c r="B97" s="1" t="s">
        <v>5</v>
      </c>
      <c r="C97" s="3" t="s">
        <v>236</v>
      </c>
      <c r="D97" s="1" t="s">
        <v>106</v>
      </c>
      <c r="E97" s="5">
        <v>1070</v>
      </c>
      <c r="F97" s="10">
        <v>11</v>
      </c>
      <c r="G97" s="10">
        <v>1101</v>
      </c>
      <c r="H97" s="10">
        <v>1101031</v>
      </c>
      <c r="I97" s="10">
        <v>1101031006</v>
      </c>
      <c r="J97" s="8" t="s">
        <v>134</v>
      </c>
      <c r="K97" s="8" t="s">
        <v>135</v>
      </c>
      <c r="L97" s="8" t="s">
        <v>238</v>
      </c>
      <c r="M97" s="8" t="s">
        <v>244</v>
      </c>
      <c r="N97" s="8">
        <v>1070</v>
      </c>
    </row>
    <row r="98" spans="1:14" ht="15.95" customHeight="1" x14ac:dyDescent="0.25">
      <c r="A98" s="1" t="s">
        <v>4</v>
      </c>
      <c r="B98" s="1" t="s">
        <v>5</v>
      </c>
      <c r="C98" s="3" t="s">
        <v>236</v>
      </c>
      <c r="D98" s="1" t="s">
        <v>107</v>
      </c>
      <c r="E98" s="2">
        <v>546</v>
      </c>
      <c r="F98" s="10">
        <v>11</v>
      </c>
      <c r="G98" s="10">
        <v>1101</v>
      </c>
      <c r="H98" s="10">
        <v>1101031</v>
      </c>
      <c r="I98" s="10">
        <v>1101031007</v>
      </c>
      <c r="J98" s="8" t="s">
        <v>134</v>
      </c>
      <c r="K98" s="8" t="s">
        <v>135</v>
      </c>
      <c r="L98" s="8" t="s">
        <v>238</v>
      </c>
      <c r="M98" s="8" t="s">
        <v>245</v>
      </c>
      <c r="N98" s="8">
        <v>546</v>
      </c>
    </row>
    <row r="99" spans="1:14" ht="15.95" customHeight="1" x14ac:dyDescent="0.25">
      <c r="A99" s="1" t="s">
        <v>4</v>
      </c>
      <c r="B99" s="1" t="s">
        <v>5</v>
      </c>
      <c r="C99" s="3" t="s">
        <v>236</v>
      </c>
      <c r="D99" s="1" t="s">
        <v>108</v>
      </c>
      <c r="E99" s="2">
        <v>589</v>
      </c>
      <c r="F99" s="10">
        <v>11</v>
      </c>
      <c r="G99" s="10">
        <v>1101</v>
      </c>
      <c r="H99" s="10">
        <v>1101031</v>
      </c>
      <c r="I99" s="10">
        <v>1101031008</v>
      </c>
      <c r="J99" s="8" t="s">
        <v>134</v>
      </c>
      <c r="K99" s="8" t="s">
        <v>135</v>
      </c>
      <c r="L99" s="8" t="s">
        <v>238</v>
      </c>
      <c r="M99" s="8" t="s">
        <v>246</v>
      </c>
      <c r="N99" s="8">
        <v>589</v>
      </c>
    </row>
    <row r="100" spans="1:14" ht="15.95" customHeight="1" x14ac:dyDescent="0.25">
      <c r="A100" s="1" t="s">
        <v>4</v>
      </c>
      <c r="B100" s="1" t="s">
        <v>5</v>
      </c>
      <c r="C100" s="3" t="s">
        <v>236</v>
      </c>
      <c r="D100" s="1" t="s">
        <v>109</v>
      </c>
      <c r="E100" s="2">
        <v>370</v>
      </c>
      <c r="F100" s="10">
        <v>11</v>
      </c>
      <c r="G100" s="10">
        <v>1101</v>
      </c>
      <c r="H100" s="10">
        <v>1101031</v>
      </c>
      <c r="I100" s="10">
        <v>1101031009</v>
      </c>
      <c r="J100" s="8" t="s">
        <v>134</v>
      </c>
      <c r="K100" s="8" t="s">
        <v>135</v>
      </c>
      <c r="L100" s="8" t="s">
        <v>238</v>
      </c>
      <c r="M100" s="8" t="s">
        <v>247</v>
      </c>
      <c r="N100" s="8">
        <v>370</v>
      </c>
    </row>
    <row r="101" spans="1:14" ht="15.95" customHeight="1" x14ac:dyDescent="0.25">
      <c r="A101" s="1" t="s">
        <v>4</v>
      </c>
      <c r="B101" s="1" t="s">
        <v>5</v>
      </c>
      <c r="C101" s="3" t="s">
        <v>236</v>
      </c>
      <c r="D101" s="1" t="s">
        <v>110</v>
      </c>
      <c r="E101" s="2">
        <v>596</v>
      </c>
      <c r="F101" s="10">
        <v>11</v>
      </c>
      <c r="G101" s="10">
        <v>1101</v>
      </c>
      <c r="H101" s="10">
        <v>1101031</v>
      </c>
      <c r="I101" s="10">
        <v>1101031010</v>
      </c>
      <c r="J101" s="8" t="s">
        <v>134</v>
      </c>
      <c r="K101" s="8" t="s">
        <v>135</v>
      </c>
      <c r="L101" s="8" t="s">
        <v>238</v>
      </c>
      <c r="M101" s="8" t="s">
        <v>248</v>
      </c>
      <c r="N101" s="8">
        <v>596</v>
      </c>
    </row>
    <row r="102" spans="1:14" ht="15.95" customHeight="1" x14ac:dyDescent="0.25">
      <c r="A102" s="1" t="s">
        <v>4</v>
      </c>
      <c r="B102" s="1" t="s">
        <v>5</v>
      </c>
      <c r="C102" s="3" t="s">
        <v>249</v>
      </c>
      <c r="D102" s="3" t="s">
        <v>250</v>
      </c>
      <c r="E102" s="4">
        <v>476</v>
      </c>
      <c r="F102" s="10">
        <v>11</v>
      </c>
      <c r="G102" s="10">
        <v>1101</v>
      </c>
      <c r="H102" s="10">
        <v>1101040</v>
      </c>
      <c r="I102" s="10">
        <v>1101040001</v>
      </c>
      <c r="J102" s="8" t="s">
        <v>134</v>
      </c>
      <c r="K102" s="8" t="s">
        <v>135</v>
      </c>
      <c r="L102" s="8" t="s">
        <v>251</v>
      </c>
      <c r="M102" s="8" t="s">
        <v>252</v>
      </c>
      <c r="N102" s="8">
        <v>476</v>
      </c>
    </row>
    <row r="103" spans="1:14" ht="15.95" customHeight="1" x14ac:dyDescent="0.25">
      <c r="A103" s="1" t="s">
        <v>4</v>
      </c>
      <c r="B103" s="1" t="s">
        <v>5</v>
      </c>
      <c r="C103" s="3" t="s">
        <v>249</v>
      </c>
      <c r="D103" s="1" t="s">
        <v>113</v>
      </c>
      <c r="E103" s="2">
        <v>667</v>
      </c>
      <c r="F103" s="10">
        <v>11</v>
      </c>
      <c r="G103" s="10">
        <v>1101</v>
      </c>
      <c r="H103" s="10">
        <v>1101040</v>
      </c>
      <c r="I103" s="10">
        <v>1101040002</v>
      </c>
      <c r="J103" s="8" t="s">
        <v>134</v>
      </c>
      <c r="K103" s="8" t="s">
        <v>135</v>
      </c>
      <c r="L103" s="8" t="s">
        <v>251</v>
      </c>
      <c r="M103" s="8" t="s">
        <v>253</v>
      </c>
      <c r="N103" s="8">
        <v>667</v>
      </c>
    </row>
    <row r="104" spans="1:14" ht="15.95" customHeight="1" x14ac:dyDescent="0.25">
      <c r="A104" s="1" t="s">
        <v>4</v>
      </c>
      <c r="B104" s="1" t="s">
        <v>5</v>
      </c>
      <c r="C104" s="3" t="s">
        <v>249</v>
      </c>
      <c r="D104" s="1" t="s">
        <v>114</v>
      </c>
      <c r="E104" s="2">
        <v>813</v>
      </c>
      <c r="F104" s="10">
        <v>11</v>
      </c>
      <c r="G104" s="10">
        <v>1101</v>
      </c>
      <c r="H104" s="10">
        <v>1101040</v>
      </c>
      <c r="I104" s="10">
        <v>1101040003</v>
      </c>
      <c r="J104" s="8" t="s">
        <v>134</v>
      </c>
      <c r="K104" s="8" t="s">
        <v>135</v>
      </c>
      <c r="L104" s="8" t="s">
        <v>251</v>
      </c>
      <c r="M104" s="8" t="s">
        <v>254</v>
      </c>
      <c r="N104" s="8">
        <v>813</v>
      </c>
    </row>
    <row r="105" spans="1:14" ht="15.95" customHeight="1" x14ac:dyDescent="0.25">
      <c r="A105" s="1" t="s">
        <v>4</v>
      </c>
      <c r="B105" s="1" t="s">
        <v>5</v>
      </c>
      <c r="C105" s="3" t="s">
        <v>249</v>
      </c>
      <c r="D105" s="1" t="s">
        <v>115</v>
      </c>
      <c r="E105" s="2">
        <v>933</v>
      </c>
      <c r="F105" s="10">
        <v>11</v>
      </c>
      <c r="G105" s="10">
        <v>1101</v>
      </c>
      <c r="H105" s="10">
        <v>1101040</v>
      </c>
      <c r="I105" s="10">
        <v>1101040004</v>
      </c>
      <c r="J105" s="8" t="s">
        <v>134</v>
      </c>
      <c r="K105" s="8" t="s">
        <v>135</v>
      </c>
      <c r="L105" s="8" t="s">
        <v>251</v>
      </c>
      <c r="M105" s="8" t="s">
        <v>255</v>
      </c>
      <c r="N105" s="8">
        <v>933</v>
      </c>
    </row>
    <row r="106" spans="1:14" ht="15.95" customHeight="1" x14ac:dyDescent="0.25">
      <c r="A106" s="1" t="s">
        <v>4</v>
      </c>
      <c r="B106" s="1" t="s">
        <v>5</v>
      </c>
      <c r="C106" s="3" t="s">
        <v>249</v>
      </c>
      <c r="D106" s="1" t="s">
        <v>116</v>
      </c>
      <c r="E106" s="2">
        <v>425</v>
      </c>
      <c r="F106" s="10">
        <v>11</v>
      </c>
      <c r="G106" s="10">
        <v>1101</v>
      </c>
      <c r="H106" s="10">
        <v>1101040</v>
      </c>
      <c r="I106" s="10">
        <v>1101040005</v>
      </c>
      <c r="J106" s="8" t="s">
        <v>134</v>
      </c>
      <c r="K106" s="8" t="s">
        <v>135</v>
      </c>
      <c r="L106" s="8" t="s">
        <v>251</v>
      </c>
      <c r="M106" s="8" t="s">
        <v>256</v>
      </c>
      <c r="N106" s="8">
        <v>425</v>
      </c>
    </row>
    <row r="107" spans="1:14" ht="15.95" customHeight="1" x14ac:dyDescent="0.25">
      <c r="A107" s="1" t="s">
        <v>4</v>
      </c>
      <c r="B107" s="1" t="s">
        <v>5</v>
      </c>
      <c r="C107" s="3" t="s">
        <v>249</v>
      </c>
      <c r="D107" s="1" t="s">
        <v>117</v>
      </c>
      <c r="E107" s="2">
        <v>359</v>
      </c>
      <c r="F107" s="10">
        <v>11</v>
      </c>
      <c r="G107" s="10">
        <v>1101</v>
      </c>
      <c r="H107" s="10">
        <v>1101040</v>
      </c>
      <c r="I107" s="10">
        <v>1101040006</v>
      </c>
      <c r="J107" s="8" t="s">
        <v>134</v>
      </c>
      <c r="K107" s="8" t="s">
        <v>135</v>
      </c>
      <c r="L107" s="8" t="s">
        <v>251</v>
      </c>
      <c r="M107" s="8" t="s">
        <v>257</v>
      </c>
      <c r="N107" s="8">
        <v>359</v>
      </c>
    </row>
    <row r="108" spans="1:14" ht="15.95" customHeight="1" x14ac:dyDescent="0.25">
      <c r="A108" s="1" t="s">
        <v>4</v>
      </c>
      <c r="B108" s="1" t="s">
        <v>5</v>
      </c>
      <c r="C108" s="3" t="s">
        <v>249</v>
      </c>
      <c r="D108" s="1" t="s">
        <v>118</v>
      </c>
      <c r="E108" s="2">
        <v>458</v>
      </c>
      <c r="F108" s="10">
        <v>11</v>
      </c>
      <c r="G108" s="10">
        <v>1101</v>
      </c>
      <c r="H108" s="10">
        <v>1101040</v>
      </c>
      <c r="I108" s="10">
        <v>1101040007</v>
      </c>
      <c r="J108" s="8" t="s">
        <v>134</v>
      </c>
      <c r="K108" s="8" t="s">
        <v>135</v>
      </c>
      <c r="L108" s="8" t="s">
        <v>251</v>
      </c>
      <c r="M108" s="8" t="s">
        <v>258</v>
      </c>
      <c r="N108" s="8">
        <v>458</v>
      </c>
    </row>
    <row r="109" spans="1:14" ht="15.95" customHeight="1" x14ac:dyDescent="0.25">
      <c r="A109" s="1" t="s">
        <v>4</v>
      </c>
      <c r="B109" s="1" t="s">
        <v>5</v>
      </c>
      <c r="C109" s="3" t="s">
        <v>249</v>
      </c>
      <c r="D109" s="1" t="s">
        <v>119</v>
      </c>
      <c r="E109" s="2">
        <v>454</v>
      </c>
      <c r="F109" s="10">
        <v>11</v>
      </c>
      <c r="G109" s="10">
        <v>1101</v>
      </c>
      <c r="H109" s="10">
        <v>1101040</v>
      </c>
      <c r="I109" s="10">
        <v>1101040008</v>
      </c>
      <c r="J109" s="8" t="s">
        <v>134</v>
      </c>
      <c r="K109" s="8" t="s">
        <v>135</v>
      </c>
      <c r="L109" s="8" t="s">
        <v>251</v>
      </c>
      <c r="M109" s="8" t="s">
        <v>259</v>
      </c>
      <c r="N109" s="8">
        <v>454</v>
      </c>
    </row>
    <row r="110" spans="1:14" ht="15.95" customHeight="1" x14ac:dyDescent="0.25">
      <c r="A110" s="1" t="s">
        <v>4</v>
      </c>
      <c r="B110" s="1" t="s">
        <v>5</v>
      </c>
      <c r="C110" s="3" t="s">
        <v>249</v>
      </c>
      <c r="D110" s="1" t="s">
        <v>120</v>
      </c>
      <c r="E110" s="2">
        <v>420</v>
      </c>
      <c r="F110" s="10">
        <v>11</v>
      </c>
      <c r="G110" s="10">
        <v>1101</v>
      </c>
      <c r="H110" s="10">
        <v>1101040</v>
      </c>
      <c r="I110" s="10">
        <v>1101040009</v>
      </c>
      <c r="J110" s="8" t="s">
        <v>134</v>
      </c>
      <c r="K110" s="8" t="s">
        <v>135</v>
      </c>
      <c r="L110" s="8" t="s">
        <v>251</v>
      </c>
      <c r="M110" s="8" t="s">
        <v>260</v>
      </c>
      <c r="N110" s="8">
        <v>420</v>
      </c>
    </row>
    <row r="111" spans="1:14" ht="15.95" customHeight="1" x14ac:dyDescent="0.25">
      <c r="A111" s="1" t="s">
        <v>4</v>
      </c>
      <c r="B111" s="1" t="s">
        <v>5</v>
      </c>
      <c r="C111" s="3" t="s">
        <v>249</v>
      </c>
      <c r="D111" s="1" t="s">
        <v>121</v>
      </c>
      <c r="E111" s="2">
        <v>451</v>
      </c>
      <c r="F111" s="10">
        <v>11</v>
      </c>
      <c r="G111" s="10">
        <v>1101</v>
      </c>
      <c r="H111" s="10">
        <v>1101040</v>
      </c>
      <c r="I111" s="10">
        <v>1101040010</v>
      </c>
      <c r="J111" s="8" t="s">
        <v>134</v>
      </c>
      <c r="K111" s="8" t="s">
        <v>135</v>
      </c>
      <c r="L111" s="8" t="s">
        <v>251</v>
      </c>
      <c r="M111" s="8" t="s">
        <v>261</v>
      </c>
      <c r="N111" s="8">
        <v>451</v>
      </c>
    </row>
    <row r="112" spans="1:14" ht="15.95" customHeight="1" x14ac:dyDescent="0.25">
      <c r="A112" s="1" t="s">
        <v>4</v>
      </c>
      <c r="B112" s="1" t="s">
        <v>5</v>
      </c>
      <c r="C112" s="3" t="s">
        <v>249</v>
      </c>
      <c r="D112" s="1" t="s">
        <v>122</v>
      </c>
      <c r="E112" s="2">
        <v>540</v>
      </c>
      <c r="F112" s="10">
        <v>11</v>
      </c>
      <c r="G112" s="10">
        <v>1101</v>
      </c>
      <c r="H112" s="10">
        <v>1101040</v>
      </c>
      <c r="I112" s="10">
        <v>1101040011</v>
      </c>
      <c r="J112" s="8" t="s">
        <v>134</v>
      </c>
      <c r="K112" s="8" t="s">
        <v>135</v>
      </c>
      <c r="L112" s="8" t="s">
        <v>251</v>
      </c>
      <c r="M112" s="8" t="s">
        <v>262</v>
      </c>
      <c r="N112" s="8">
        <v>540</v>
      </c>
    </row>
    <row r="113" spans="1:14" ht="15.95" customHeight="1" x14ac:dyDescent="0.25">
      <c r="A113" s="1" t="s">
        <v>4</v>
      </c>
      <c r="B113" s="1" t="s">
        <v>5</v>
      </c>
      <c r="C113" s="3" t="s">
        <v>249</v>
      </c>
      <c r="D113" s="1" t="s">
        <v>123</v>
      </c>
      <c r="E113" s="2">
        <v>265</v>
      </c>
      <c r="F113" s="10">
        <v>11</v>
      </c>
      <c r="G113" s="10">
        <v>1101</v>
      </c>
      <c r="H113" s="10">
        <v>1101040</v>
      </c>
      <c r="I113" s="10">
        <v>1101040012</v>
      </c>
      <c r="J113" s="8" t="s">
        <v>134</v>
      </c>
      <c r="K113" s="8" t="s">
        <v>135</v>
      </c>
      <c r="L113" s="8" t="s">
        <v>251</v>
      </c>
      <c r="M113" s="8" t="s">
        <v>263</v>
      </c>
      <c r="N113" s="8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1" sqref="C1"/>
    </sheetView>
  </sheetViews>
  <sheetFormatPr defaultRowHeight="15" x14ac:dyDescent="0.25"/>
  <cols>
    <col min="2" max="2" width="10.5703125" bestFit="1" customWidth="1"/>
  </cols>
  <sheetData>
    <row r="1" spans="1:2" ht="15.75" x14ac:dyDescent="0.25">
      <c r="A1" s="6" t="s">
        <v>124</v>
      </c>
      <c r="B1" s="6" t="s">
        <v>129</v>
      </c>
    </row>
    <row r="2" spans="1:2" x14ac:dyDescent="0.25">
      <c r="A2" s="10">
        <v>11</v>
      </c>
      <c r="B2" s="8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19" sqref="I19"/>
    </sheetView>
  </sheetViews>
  <sheetFormatPr defaultRowHeight="15" x14ac:dyDescent="0.25"/>
  <cols>
    <col min="2" max="2" width="13.140625" customWidth="1"/>
  </cols>
  <sheetData>
    <row r="1" spans="1:2" ht="15.75" x14ac:dyDescent="0.25">
      <c r="A1" s="6" t="s">
        <v>125</v>
      </c>
      <c r="B1" s="6" t="s">
        <v>130</v>
      </c>
    </row>
    <row r="2" spans="1:2" x14ac:dyDescent="0.25">
      <c r="A2" s="10">
        <v>1101</v>
      </c>
      <c r="B2" s="8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H19" sqref="H19"/>
    </sheetView>
  </sheetViews>
  <sheetFormatPr defaultRowHeight="15" x14ac:dyDescent="0.25"/>
  <cols>
    <col min="2" max="2" width="19.28515625" bestFit="1" customWidth="1"/>
  </cols>
  <sheetData>
    <row r="1" spans="1:2" ht="15.75" x14ac:dyDescent="0.25">
      <c r="A1" s="6" t="s">
        <v>126</v>
      </c>
      <c r="B1" s="6" t="s">
        <v>131</v>
      </c>
    </row>
    <row r="2" spans="1:2" x14ac:dyDescent="0.25">
      <c r="A2" s="10">
        <v>1101010</v>
      </c>
      <c r="B2" s="8" t="s">
        <v>136</v>
      </c>
    </row>
    <row r="3" spans="1:2" x14ac:dyDescent="0.25">
      <c r="A3" s="10">
        <v>1101020</v>
      </c>
      <c r="B3" s="8" t="s">
        <v>158</v>
      </c>
    </row>
    <row r="4" spans="1:2" x14ac:dyDescent="0.25">
      <c r="A4" s="10">
        <v>1101021</v>
      </c>
      <c r="B4" s="8" t="s">
        <v>190</v>
      </c>
    </row>
    <row r="5" spans="1:2" x14ac:dyDescent="0.25">
      <c r="A5" s="10">
        <v>1101030</v>
      </c>
      <c r="B5" s="8" t="s">
        <v>211</v>
      </c>
    </row>
    <row r="6" spans="1:2" x14ac:dyDescent="0.25">
      <c r="A6" s="10">
        <v>1101031</v>
      </c>
      <c r="B6" s="8" t="s">
        <v>238</v>
      </c>
    </row>
    <row r="7" spans="1:2" x14ac:dyDescent="0.25">
      <c r="A7" s="10">
        <v>1101040</v>
      </c>
      <c r="B7" s="8" t="s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workbookViewId="0">
      <selection activeCell="I1" sqref="I1"/>
    </sheetView>
  </sheetViews>
  <sheetFormatPr defaultRowHeight="15" x14ac:dyDescent="0.25"/>
  <cols>
    <col min="1" max="1" width="12" bestFit="1" customWidth="1"/>
    <col min="2" max="2" width="18.85546875" bestFit="1" customWidth="1"/>
  </cols>
  <sheetData>
    <row r="1" spans="1:2" ht="15.75" x14ac:dyDescent="0.25">
      <c r="A1" s="6" t="s">
        <v>127</v>
      </c>
      <c r="B1" s="6" t="s">
        <v>132</v>
      </c>
    </row>
    <row r="2" spans="1:2" x14ac:dyDescent="0.25">
      <c r="A2" s="10">
        <v>1101010001</v>
      </c>
      <c r="B2" s="8" t="s">
        <v>137</v>
      </c>
    </row>
    <row r="3" spans="1:2" x14ac:dyDescent="0.25">
      <c r="A3" s="10">
        <v>1101010002</v>
      </c>
      <c r="B3" s="8" t="s">
        <v>138</v>
      </c>
    </row>
    <row r="4" spans="1:2" x14ac:dyDescent="0.25">
      <c r="A4" s="10">
        <v>1101010003</v>
      </c>
      <c r="B4" s="8" t="s">
        <v>139</v>
      </c>
    </row>
    <row r="5" spans="1:2" x14ac:dyDescent="0.25">
      <c r="A5" s="10">
        <v>1101010004</v>
      </c>
      <c r="B5" s="8" t="s">
        <v>140</v>
      </c>
    </row>
    <row r="6" spans="1:2" x14ac:dyDescent="0.25">
      <c r="A6" s="10">
        <v>1101010005</v>
      </c>
      <c r="B6" s="8" t="s">
        <v>141</v>
      </c>
    </row>
    <row r="7" spans="1:2" x14ac:dyDescent="0.25">
      <c r="A7" s="10">
        <v>1101010006</v>
      </c>
      <c r="B7" s="8" t="s">
        <v>142</v>
      </c>
    </row>
    <row r="8" spans="1:2" x14ac:dyDescent="0.25">
      <c r="A8" s="10">
        <v>1101010007</v>
      </c>
      <c r="B8" s="8" t="s">
        <v>143</v>
      </c>
    </row>
    <row r="9" spans="1:2" x14ac:dyDescent="0.25">
      <c r="A9" s="10">
        <v>1101010008</v>
      </c>
      <c r="B9" s="8" t="s">
        <v>144</v>
      </c>
    </row>
    <row r="10" spans="1:2" x14ac:dyDescent="0.25">
      <c r="A10" s="10">
        <v>1101010009</v>
      </c>
      <c r="B10" s="8" t="s">
        <v>145</v>
      </c>
    </row>
    <row r="11" spans="1:2" x14ac:dyDescent="0.25">
      <c r="A11" s="10">
        <v>1101010010</v>
      </c>
      <c r="B11" s="8" t="s">
        <v>146</v>
      </c>
    </row>
    <row r="12" spans="1:2" x14ac:dyDescent="0.25">
      <c r="A12" s="10">
        <v>1101010011</v>
      </c>
      <c r="B12" s="8" t="s">
        <v>147</v>
      </c>
    </row>
    <row r="13" spans="1:2" x14ac:dyDescent="0.25">
      <c r="A13" s="10">
        <v>1101010012</v>
      </c>
      <c r="B13" s="8" t="s">
        <v>148</v>
      </c>
    </row>
    <row r="14" spans="1:2" x14ac:dyDescent="0.25">
      <c r="A14" s="10">
        <v>1101010013</v>
      </c>
      <c r="B14" s="8" t="s">
        <v>149</v>
      </c>
    </row>
    <row r="15" spans="1:2" x14ac:dyDescent="0.25">
      <c r="A15" s="10">
        <v>1101010014</v>
      </c>
      <c r="B15" s="8" t="s">
        <v>150</v>
      </c>
    </row>
    <row r="16" spans="1:2" x14ac:dyDescent="0.25">
      <c r="A16" s="10">
        <v>1101010015</v>
      </c>
      <c r="B16" s="8" t="s">
        <v>151</v>
      </c>
    </row>
    <row r="17" spans="1:2" x14ac:dyDescent="0.25">
      <c r="A17" s="10">
        <v>1101010016</v>
      </c>
      <c r="B17" s="8" t="s">
        <v>152</v>
      </c>
    </row>
    <row r="18" spans="1:2" x14ac:dyDescent="0.25">
      <c r="A18" s="10">
        <v>1101010017</v>
      </c>
      <c r="B18" s="8" t="s">
        <v>153</v>
      </c>
    </row>
    <row r="19" spans="1:2" x14ac:dyDescent="0.25">
      <c r="A19" s="10">
        <v>1101010018</v>
      </c>
      <c r="B19" s="8" t="s">
        <v>154</v>
      </c>
    </row>
    <row r="20" spans="1:2" x14ac:dyDescent="0.25">
      <c r="A20" s="10">
        <v>1101010019</v>
      </c>
      <c r="B20" s="8" t="s">
        <v>155</v>
      </c>
    </row>
    <row r="21" spans="1:2" x14ac:dyDescent="0.25">
      <c r="A21" s="10">
        <v>1101020001</v>
      </c>
      <c r="B21" s="8" t="s">
        <v>159</v>
      </c>
    </row>
    <row r="22" spans="1:2" x14ac:dyDescent="0.25">
      <c r="A22" s="10">
        <v>1101020002</v>
      </c>
      <c r="B22" s="8" t="s">
        <v>160</v>
      </c>
    </row>
    <row r="23" spans="1:2" x14ac:dyDescent="0.25">
      <c r="A23" s="10">
        <v>1101020003</v>
      </c>
      <c r="B23" s="8" t="s">
        <v>161</v>
      </c>
    </row>
    <row r="24" spans="1:2" x14ac:dyDescent="0.25">
      <c r="A24" s="10">
        <v>1101020004</v>
      </c>
      <c r="B24" s="8" t="s">
        <v>162</v>
      </c>
    </row>
    <row r="25" spans="1:2" x14ac:dyDescent="0.25">
      <c r="A25" s="10">
        <v>1101020005</v>
      </c>
      <c r="B25" s="8" t="s">
        <v>163</v>
      </c>
    </row>
    <row r="26" spans="1:2" x14ac:dyDescent="0.25">
      <c r="A26" s="10">
        <v>1101020006</v>
      </c>
      <c r="B26" s="8" t="s">
        <v>164</v>
      </c>
    </row>
    <row r="27" spans="1:2" x14ac:dyDescent="0.25">
      <c r="A27" s="10">
        <v>1101020007</v>
      </c>
      <c r="B27" s="8" t="s">
        <v>165</v>
      </c>
    </row>
    <row r="28" spans="1:2" x14ac:dyDescent="0.25">
      <c r="A28" s="10">
        <v>1101020008</v>
      </c>
      <c r="B28" s="8" t="s">
        <v>166</v>
      </c>
    </row>
    <row r="29" spans="1:2" x14ac:dyDescent="0.25">
      <c r="A29" s="10">
        <v>1101020009</v>
      </c>
      <c r="B29" s="8" t="s">
        <v>167</v>
      </c>
    </row>
    <row r="30" spans="1:2" x14ac:dyDescent="0.25">
      <c r="A30" s="10">
        <v>1101020010</v>
      </c>
      <c r="B30" s="8" t="s">
        <v>168</v>
      </c>
    </row>
    <row r="31" spans="1:2" x14ac:dyDescent="0.25">
      <c r="A31" s="10">
        <v>1101020022</v>
      </c>
      <c r="B31" s="8" t="s">
        <v>169</v>
      </c>
    </row>
    <row r="32" spans="1:2" x14ac:dyDescent="0.25">
      <c r="A32" s="10">
        <v>1101020023</v>
      </c>
      <c r="B32" s="8" t="s">
        <v>170</v>
      </c>
    </row>
    <row r="33" spans="1:2" x14ac:dyDescent="0.25">
      <c r="A33" s="10">
        <v>1101020024</v>
      </c>
      <c r="B33" s="8" t="s">
        <v>171</v>
      </c>
    </row>
    <row r="34" spans="1:2" x14ac:dyDescent="0.25">
      <c r="A34" s="10">
        <v>1101020025</v>
      </c>
      <c r="B34" s="8" t="s">
        <v>172</v>
      </c>
    </row>
    <row r="35" spans="1:2" x14ac:dyDescent="0.25">
      <c r="A35" s="10">
        <v>1101020026</v>
      </c>
      <c r="B35" s="8" t="s">
        <v>173</v>
      </c>
    </row>
    <row r="36" spans="1:2" x14ac:dyDescent="0.25">
      <c r="A36" s="10">
        <v>1101020027</v>
      </c>
      <c r="B36" s="8" t="s">
        <v>174</v>
      </c>
    </row>
    <row r="37" spans="1:2" x14ac:dyDescent="0.25">
      <c r="A37" s="10">
        <v>1101020028</v>
      </c>
      <c r="B37" s="8" t="s">
        <v>175</v>
      </c>
    </row>
    <row r="38" spans="1:2" x14ac:dyDescent="0.25">
      <c r="A38" s="10">
        <v>1101020029</v>
      </c>
      <c r="B38" s="8" t="s">
        <v>176</v>
      </c>
    </row>
    <row r="39" spans="1:2" x14ac:dyDescent="0.25">
      <c r="A39" s="10">
        <v>1101020030</v>
      </c>
      <c r="B39" s="8" t="s">
        <v>177</v>
      </c>
    </row>
    <row r="40" spans="1:2" x14ac:dyDescent="0.25">
      <c r="A40" s="10">
        <v>1101020031</v>
      </c>
      <c r="B40" s="8" t="s">
        <v>178</v>
      </c>
    </row>
    <row r="41" spans="1:2" x14ac:dyDescent="0.25">
      <c r="A41" s="10">
        <v>1101020032</v>
      </c>
      <c r="B41" s="8" t="s">
        <v>179</v>
      </c>
    </row>
    <row r="42" spans="1:2" x14ac:dyDescent="0.25">
      <c r="A42" s="10">
        <v>1101020033</v>
      </c>
      <c r="B42" s="8" t="s">
        <v>180</v>
      </c>
    </row>
    <row r="43" spans="1:2" x14ac:dyDescent="0.25">
      <c r="A43" s="10">
        <v>1101020034</v>
      </c>
      <c r="B43" s="8" t="s">
        <v>181</v>
      </c>
    </row>
    <row r="44" spans="1:2" x14ac:dyDescent="0.25">
      <c r="A44" s="10">
        <v>1101020035</v>
      </c>
      <c r="B44" s="8" t="s">
        <v>182</v>
      </c>
    </row>
    <row r="45" spans="1:2" x14ac:dyDescent="0.25">
      <c r="A45" s="10">
        <v>1101020036</v>
      </c>
      <c r="B45" s="8" t="s">
        <v>183</v>
      </c>
    </row>
    <row r="46" spans="1:2" x14ac:dyDescent="0.25">
      <c r="A46" s="10">
        <v>1101020037</v>
      </c>
      <c r="B46" s="8" t="s">
        <v>184</v>
      </c>
    </row>
    <row r="47" spans="1:2" x14ac:dyDescent="0.25">
      <c r="A47" s="10">
        <v>1101020038</v>
      </c>
      <c r="B47" s="8" t="s">
        <v>185</v>
      </c>
    </row>
    <row r="48" spans="1:2" x14ac:dyDescent="0.25">
      <c r="A48" s="10">
        <v>1101020039</v>
      </c>
      <c r="B48" s="8" t="s">
        <v>186</v>
      </c>
    </row>
    <row r="49" spans="1:2" x14ac:dyDescent="0.25">
      <c r="A49" s="10">
        <v>1101020040</v>
      </c>
      <c r="B49" s="8" t="s">
        <v>187</v>
      </c>
    </row>
    <row r="50" spans="1:2" x14ac:dyDescent="0.25">
      <c r="A50" s="10">
        <v>1101021001</v>
      </c>
      <c r="B50" s="8" t="s">
        <v>191</v>
      </c>
    </row>
    <row r="51" spans="1:2" x14ac:dyDescent="0.25">
      <c r="A51" s="10">
        <v>1101021002</v>
      </c>
      <c r="B51" s="8" t="s">
        <v>192</v>
      </c>
    </row>
    <row r="52" spans="1:2" x14ac:dyDescent="0.25">
      <c r="A52" s="10">
        <v>1101021003</v>
      </c>
      <c r="B52" s="8" t="s">
        <v>193</v>
      </c>
    </row>
    <row r="53" spans="1:2" x14ac:dyDescent="0.25">
      <c r="A53" s="10">
        <v>1101021004</v>
      </c>
      <c r="B53" s="8" t="s">
        <v>194</v>
      </c>
    </row>
    <row r="54" spans="1:2" x14ac:dyDescent="0.25">
      <c r="A54" s="10">
        <v>1101021005</v>
      </c>
      <c r="B54" s="8" t="s">
        <v>195</v>
      </c>
    </row>
    <row r="55" spans="1:2" x14ac:dyDescent="0.25">
      <c r="A55" s="10">
        <v>1101021006</v>
      </c>
      <c r="B55" s="8" t="s">
        <v>196</v>
      </c>
    </row>
    <row r="56" spans="1:2" x14ac:dyDescent="0.25">
      <c r="A56" s="10">
        <v>1101021007</v>
      </c>
      <c r="B56" s="8" t="s">
        <v>197</v>
      </c>
    </row>
    <row r="57" spans="1:2" x14ac:dyDescent="0.25">
      <c r="A57" s="10">
        <v>1101021008</v>
      </c>
      <c r="B57" s="8" t="s">
        <v>198</v>
      </c>
    </row>
    <row r="58" spans="1:2" x14ac:dyDescent="0.25">
      <c r="A58" s="10">
        <v>1101021009</v>
      </c>
      <c r="B58" s="8" t="s">
        <v>199</v>
      </c>
    </row>
    <row r="59" spans="1:2" x14ac:dyDescent="0.25">
      <c r="A59" s="10">
        <v>1101021010</v>
      </c>
      <c r="B59" s="8" t="s">
        <v>200</v>
      </c>
    </row>
    <row r="60" spans="1:2" x14ac:dyDescent="0.25">
      <c r="A60" s="10">
        <v>1101021011</v>
      </c>
      <c r="B60" s="8" t="s">
        <v>201</v>
      </c>
    </row>
    <row r="61" spans="1:2" x14ac:dyDescent="0.25">
      <c r="A61" s="10">
        <v>1101021012</v>
      </c>
      <c r="B61" s="8" t="s">
        <v>202</v>
      </c>
    </row>
    <row r="62" spans="1:2" x14ac:dyDescent="0.25">
      <c r="A62" s="10">
        <v>1101021013</v>
      </c>
      <c r="B62" s="8" t="s">
        <v>203</v>
      </c>
    </row>
    <row r="63" spans="1:2" x14ac:dyDescent="0.25">
      <c r="A63" s="10">
        <v>1101021014</v>
      </c>
      <c r="B63" s="8" t="s">
        <v>204</v>
      </c>
    </row>
    <row r="64" spans="1:2" x14ac:dyDescent="0.25">
      <c r="A64" s="10">
        <v>1101021015</v>
      </c>
      <c r="B64" s="8" t="s">
        <v>205</v>
      </c>
    </row>
    <row r="65" spans="1:2" x14ac:dyDescent="0.25">
      <c r="A65" s="10">
        <v>1101021016</v>
      </c>
      <c r="B65" s="8" t="s">
        <v>206</v>
      </c>
    </row>
    <row r="66" spans="1:2" x14ac:dyDescent="0.25">
      <c r="A66" s="10">
        <v>1101021017</v>
      </c>
      <c r="B66" s="8" t="s">
        <v>207</v>
      </c>
    </row>
    <row r="67" spans="1:2" x14ac:dyDescent="0.25">
      <c r="A67" s="10">
        <v>1101021018</v>
      </c>
      <c r="B67" s="8" t="s">
        <v>208</v>
      </c>
    </row>
    <row r="68" spans="1:2" x14ac:dyDescent="0.25">
      <c r="A68" s="10">
        <v>1101030001</v>
      </c>
      <c r="B68" s="8" t="s">
        <v>212</v>
      </c>
    </row>
    <row r="69" spans="1:2" x14ac:dyDescent="0.25">
      <c r="A69" s="10">
        <v>1101030002</v>
      </c>
      <c r="B69" s="8" t="s">
        <v>213</v>
      </c>
    </row>
    <row r="70" spans="1:2" x14ac:dyDescent="0.25">
      <c r="A70" s="10">
        <v>1101030003</v>
      </c>
      <c r="B70" s="8" t="s">
        <v>214</v>
      </c>
    </row>
    <row r="71" spans="1:2" x14ac:dyDescent="0.25">
      <c r="A71" s="10">
        <v>1101030004</v>
      </c>
      <c r="B71" s="8" t="s">
        <v>215</v>
      </c>
    </row>
    <row r="72" spans="1:2" x14ac:dyDescent="0.25">
      <c r="A72" s="10">
        <v>1101030005</v>
      </c>
      <c r="B72" s="8" t="s">
        <v>216</v>
      </c>
    </row>
    <row r="73" spans="1:2" x14ac:dyDescent="0.25">
      <c r="A73" s="10">
        <v>1101030006</v>
      </c>
      <c r="B73" s="8" t="s">
        <v>217</v>
      </c>
    </row>
    <row r="74" spans="1:2" x14ac:dyDescent="0.25">
      <c r="A74" s="10">
        <v>1101030007</v>
      </c>
      <c r="B74" s="8" t="s">
        <v>218</v>
      </c>
    </row>
    <row r="75" spans="1:2" x14ac:dyDescent="0.25">
      <c r="A75" s="10">
        <v>1101030008</v>
      </c>
      <c r="B75" s="8" t="s">
        <v>219</v>
      </c>
    </row>
    <row r="76" spans="1:2" x14ac:dyDescent="0.25">
      <c r="A76" s="10">
        <v>1101030009</v>
      </c>
      <c r="B76" s="8" t="s">
        <v>220</v>
      </c>
    </row>
    <row r="77" spans="1:2" x14ac:dyDescent="0.25">
      <c r="A77" s="10">
        <v>1101030010</v>
      </c>
      <c r="B77" s="8" t="s">
        <v>221</v>
      </c>
    </row>
    <row r="78" spans="1:2" x14ac:dyDescent="0.25">
      <c r="A78" s="10">
        <v>1101030011</v>
      </c>
      <c r="B78" s="8" t="s">
        <v>222</v>
      </c>
    </row>
    <row r="79" spans="1:2" x14ac:dyDescent="0.25">
      <c r="A79" s="10">
        <v>1101030012</v>
      </c>
      <c r="B79" s="8" t="s">
        <v>223</v>
      </c>
    </row>
    <row r="80" spans="1:2" x14ac:dyDescent="0.25">
      <c r="A80" s="10">
        <v>1101030013</v>
      </c>
      <c r="B80" s="8" t="s">
        <v>224</v>
      </c>
    </row>
    <row r="81" spans="1:2" x14ac:dyDescent="0.25">
      <c r="A81" s="10">
        <v>1101030014</v>
      </c>
      <c r="B81" s="8" t="s">
        <v>225</v>
      </c>
    </row>
    <row r="82" spans="1:2" x14ac:dyDescent="0.25">
      <c r="A82" s="10">
        <v>1101030015</v>
      </c>
      <c r="B82" s="8" t="s">
        <v>226</v>
      </c>
    </row>
    <row r="83" spans="1:2" x14ac:dyDescent="0.25">
      <c r="A83" s="10">
        <v>1101030016</v>
      </c>
      <c r="B83" s="8" t="s">
        <v>227</v>
      </c>
    </row>
    <row r="84" spans="1:2" x14ac:dyDescent="0.25">
      <c r="A84" s="10">
        <v>1101030017</v>
      </c>
      <c r="B84" s="8" t="s">
        <v>228</v>
      </c>
    </row>
    <row r="85" spans="1:2" x14ac:dyDescent="0.25">
      <c r="A85" s="10">
        <v>1101030020</v>
      </c>
      <c r="B85" s="8" t="s">
        <v>229</v>
      </c>
    </row>
    <row r="86" spans="1:2" x14ac:dyDescent="0.25">
      <c r="A86" s="10">
        <v>1101030021</v>
      </c>
      <c r="B86" s="8" t="s">
        <v>230</v>
      </c>
    </row>
    <row r="87" spans="1:2" x14ac:dyDescent="0.25">
      <c r="A87" s="10">
        <v>1101030022</v>
      </c>
      <c r="B87" s="8" t="s">
        <v>231</v>
      </c>
    </row>
    <row r="88" spans="1:2" x14ac:dyDescent="0.25">
      <c r="A88" s="10">
        <v>1101030023</v>
      </c>
      <c r="B88" s="8" t="s">
        <v>232</v>
      </c>
    </row>
    <row r="89" spans="1:2" x14ac:dyDescent="0.25">
      <c r="A89" s="10">
        <v>1101030024</v>
      </c>
      <c r="B89" s="8" t="s">
        <v>233</v>
      </c>
    </row>
    <row r="90" spans="1:2" x14ac:dyDescent="0.25">
      <c r="A90" s="10">
        <v>1101030025</v>
      </c>
      <c r="B90" s="8" t="s">
        <v>234</v>
      </c>
    </row>
    <row r="91" spans="1:2" x14ac:dyDescent="0.25">
      <c r="A91" s="10">
        <v>1101030026</v>
      </c>
      <c r="B91" s="8" t="s">
        <v>235</v>
      </c>
    </row>
    <row r="92" spans="1:2" x14ac:dyDescent="0.25">
      <c r="A92" s="10">
        <v>1101031001</v>
      </c>
      <c r="B92" s="8" t="s">
        <v>239</v>
      </c>
    </row>
    <row r="93" spans="1:2" x14ac:dyDescent="0.25">
      <c r="A93" s="10">
        <v>1101031002</v>
      </c>
      <c r="B93" s="8" t="s">
        <v>240</v>
      </c>
    </row>
    <row r="94" spans="1:2" x14ac:dyDescent="0.25">
      <c r="A94" s="10">
        <v>1101031003</v>
      </c>
      <c r="B94" s="8" t="s">
        <v>241</v>
      </c>
    </row>
    <row r="95" spans="1:2" x14ac:dyDescent="0.25">
      <c r="A95" s="10">
        <v>1101031004</v>
      </c>
      <c r="B95" s="8" t="s">
        <v>242</v>
      </c>
    </row>
    <row r="96" spans="1:2" x14ac:dyDescent="0.25">
      <c r="A96" s="10">
        <v>1101031005</v>
      </c>
      <c r="B96" s="8" t="s">
        <v>243</v>
      </c>
    </row>
    <row r="97" spans="1:2" x14ac:dyDescent="0.25">
      <c r="A97" s="10">
        <v>1101031006</v>
      </c>
      <c r="B97" s="8" t="s">
        <v>244</v>
      </c>
    </row>
    <row r="98" spans="1:2" x14ac:dyDescent="0.25">
      <c r="A98" s="10">
        <v>1101031007</v>
      </c>
      <c r="B98" s="8" t="s">
        <v>245</v>
      </c>
    </row>
    <row r="99" spans="1:2" x14ac:dyDescent="0.25">
      <c r="A99" s="10">
        <v>1101031008</v>
      </c>
      <c r="B99" s="8" t="s">
        <v>246</v>
      </c>
    </row>
    <row r="100" spans="1:2" x14ac:dyDescent="0.25">
      <c r="A100" s="10">
        <v>1101031009</v>
      </c>
      <c r="B100" s="8" t="s">
        <v>247</v>
      </c>
    </row>
    <row r="101" spans="1:2" x14ac:dyDescent="0.25">
      <c r="A101" s="10">
        <v>1101031010</v>
      </c>
      <c r="B101" s="8" t="s">
        <v>248</v>
      </c>
    </row>
    <row r="102" spans="1:2" x14ac:dyDescent="0.25">
      <c r="A102" s="10">
        <v>1101040001</v>
      </c>
      <c r="B102" s="8" t="s">
        <v>252</v>
      </c>
    </row>
    <row r="103" spans="1:2" x14ac:dyDescent="0.25">
      <c r="A103" s="10">
        <v>1101040002</v>
      </c>
      <c r="B103" s="8" t="s">
        <v>253</v>
      </c>
    </row>
    <row r="104" spans="1:2" x14ac:dyDescent="0.25">
      <c r="A104" s="10">
        <v>1101040003</v>
      </c>
      <c r="B104" s="8" t="s">
        <v>254</v>
      </c>
    </row>
    <row r="105" spans="1:2" x14ac:dyDescent="0.25">
      <c r="A105" s="10">
        <v>1101040004</v>
      </c>
      <c r="B105" s="8" t="s">
        <v>255</v>
      </c>
    </row>
    <row r="106" spans="1:2" x14ac:dyDescent="0.25">
      <c r="A106" s="10">
        <v>1101040005</v>
      </c>
      <c r="B106" s="8" t="s">
        <v>256</v>
      </c>
    </row>
    <row r="107" spans="1:2" x14ac:dyDescent="0.25">
      <c r="A107" s="10">
        <v>1101040006</v>
      </c>
      <c r="B107" s="8" t="s">
        <v>257</v>
      </c>
    </row>
    <row r="108" spans="1:2" x14ac:dyDescent="0.25">
      <c r="A108" s="10">
        <v>1101040007</v>
      </c>
      <c r="B108" s="8" t="s">
        <v>258</v>
      </c>
    </row>
    <row r="109" spans="1:2" x14ac:dyDescent="0.25">
      <c r="A109" s="10">
        <v>1101040008</v>
      </c>
      <c r="B109" s="8" t="s">
        <v>259</v>
      </c>
    </row>
    <row r="110" spans="1:2" x14ac:dyDescent="0.25">
      <c r="A110" s="10">
        <v>1101040009</v>
      </c>
      <c r="B110" s="8" t="s">
        <v>260</v>
      </c>
    </row>
    <row r="111" spans="1:2" x14ac:dyDescent="0.25">
      <c r="A111" s="10">
        <v>1101040010</v>
      </c>
      <c r="B111" s="8" t="s">
        <v>261</v>
      </c>
    </row>
    <row r="112" spans="1:2" x14ac:dyDescent="0.25">
      <c r="A112" s="10">
        <v>1101040011</v>
      </c>
      <c r="B112" s="8" t="s">
        <v>262</v>
      </c>
    </row>
    <row r="113" spans="1:2" x14ac:dyDescent="0.25">
      <c r="A113" s="10">
        <v>1101040012</v>
      </c>
      <c r="B113" s="8" t="s">
        <v>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>
      <selection activeCell="L12" sqref="L12"/>
    </sheetView>
  </sheetViews>
  <sheetFormatPr defaultRowHeight="15" x14ac:dyDescent="0.25"/>
  <cols>
    <col min="4" max="4" width="12" bestFit="1" customWidth="1"/>
    <col min="5" max="5" width="21" bestFit="1" customWidth="1"/>
    <col min="6" max="6" width="10.28515625" bestFit="1" customWidth="1"/>
    <col min="7" max="7" width="13.140625" bestFit="1" customWidth="1"/>
    <col min="8" max="8" width="17.7109375" bestFit="1" customWidth="1"/>
    <col min="9" max="10" width="18.140625" bestFit="1" customWidth="1"/>
  </cols>
  <sheetData>
    <row r="1" spans="1:10" ht="15.75" x14ac:dyDescent="0.25">
      <c r="A1" s="6" t="s">
        <v>316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I1" s="6" t="s">
        <v>131</v>
      </c>
      <c r="J1" s="6" t="s">
        <v>132</v>
      </c>
    </row>
    <row r="2" spans="1:10" x14ac:dyDescent="0.25">
      <c r="A2">
        <v>1</v>
      </c>
      <c r="B2" s="10">
        <v>11</v>
      </c>
      <c r="C2" s="10">
        <v>1101</v>
      </c>
      <c r="D2" s="10">
        <v>1101010</v>
      </c>
      <c r="E2" s="10">
        <v>1101010001</v>
      </c>
      <c r="F2" s="8">
        <v>270</v>
      </c>
      <c r="G2" t="str">
        <f>VLOOKUP(DATA!B2,PROVID!$A$1:$B$2,2,FALSE)</f>
        <v>ACEH</v>
      </c>
      <c r="H2" t="str">
        <f>VLOOKUP(C2,KABID!$A$1:$B$2,2,FALSE)</f>
        <v>SIMEULUE</v>
      </c>
      <c r="I2" t="str">
        <f>VLOOKUP(D2,CAMID!$A$1:$B$7,2,FALSE)</f>
        <v>TEUPAH SELATAN</v>
      </c>
      <c r="J2" t="str">
        <f>VLOOKUP(E2,DESAID!$A$1:$B$113,2,FALSE)</f>
        <v>LATIUNG</v>
      </c>
    </row>
    <row r="3" spans="1:10" x14ac:dyDescent="0.25">
      <c r="A3">
        <v>2</v>
      </c>
      <c r="B3" s="10">
        <v>11</v>
      </c>
      <c r="C3" s="10">
        <v>1101</v>
      </c>
      <c r="D3" s="10">
        <v>1101010</v>
      </c>
      <c r="E3" s="10">
        <v>1101010002</v>
      </c>
      <c r="F3" s="8">
        <v>398</v>
      </c>
      <c r="G3" t="str">
        <f>VLOOKUP(DATA!B3,PROVID!$A$1:$B$2,2,FALSE)</f>
        <v>ACEH</v>
      </c>
      <c r="H3" t="str">
        <f>VLOOKUP(C3,KABID!$A$1:$B$2,2,FALSE)</f>
        <v>SIMEULUE</v>
      </c>
      <c r="I3" t="str">
        <f>VLOOKUP(D3,CAMID!$A$1:$B$7,2,FALSE)</f>
        <v>TEUPAH SELATAN</v>
      </c>
      <c r="J3" t="str">
        <f>VLOOKUP(E3,DESAID!$A$1:$B$113,2,FALSE)</f>
        <v>LABUHAN BAJAU</v>
      </c>
    </row>
    <row r="4" spans="1:10" x14ac:dyDescent="0.25">
      <c r="A4">
        <v>3</v>
      </c>
      <c r="B4" s="10">
        <v>11</v>
      </c>
      <c r="C4" s="10">
        <v>1101</v>
      </c>
      <c r="D4" s="10">
        <v>1101010</v>
      </c>
      <c r="E4" s="10">
        <v>1101010003</v>
      </c>
      <c r="F4" s="8">
        <v>465</v>
      </c>
      <c r="G4" t="str">
        <f>VLOOKUP(DATA!B4,PROVID!$A$1:$B$2,2,FALSE)</f>
        <v>ACEH</v>
      </c>
      <c r="H4" t="str">
        <f>VLOOKUP(C4,KABID!$A$1:$B$2,2,FALSE)</f>
        <v>SIMEULUE</v>
      </c>
      <c r="I4" t="str">
        <f>VLOOKUP(D4,CAMID!$A$1:$B$7,2,FALSE)</f>
        <v>TEUPAH SELATAN</v>
      </c>
      <c r="J4" t="str">
        <f>VLOOKUP(E4,DESAID!$A$1:$B$113,2,FALSE)</f>
        <v>SUAK LAMATAN</v>
      </c>
    </row>
    <row r="5" spans="1:10" x14ac:dyDescent="0.25">
      <c r="A5">
        <v>4</v>
      </c>
      <c r="B5" s="10">
        <v>11</v>
      </c>
      <c r="C5" s="10">
        <v>1101</v>
      </c>
      <c r="D5" s="10">
        <v>1101010</v>
      </c>
      <c r="E5" s="10">
        <v>1101010004</v>
      </c>
      <c r="F5" s="8">
        <v>515</v>
      </c>
      <c r="G5" t="str">
        <f>VLOOKUP(DATA!B5,PROVID!$A$1:$B$2,2,FALSE)</f>
        <v>ACEH</v>
      </c>
      <c r="H5" t="str">
        <f>VLOOKUP(C5,KABID!$A$1:$B$2,2,FALSE)</f>
        <v>SIMEULUE</v>
      </c>
      <c r="I5" t="str">
        <f>VLOOKUP(D5,CAMID!$A$1:$B$7,2,FALSE)</f>
        <v>TEUPAH SELATAN</v>
      </c>
      <c r="J5" t="str">
        <f>VLOOKUP(E5,DESAID!$A$1:$B$113,2,FALSE)</f>
        <v>ANA AO</v>
      </c>
    </row>
    <row r="6" spans="1:10" x14ac:dyDescent="0.25">
      <c r="A6">
        <v>5</v>
      </c>
      <c r="B6" s="10">
        <v>11</v>
      </c>
      <c r="C6" s="10">
        <v>1101</v>
      </c>
      <c r="D6" s="10">
        <v>1101010</v>
      </c>
      <c r="E6" s="10">
        <v>1101010005</v>
      </c>
      <c r="F6" s="8">
        <v>340</v>
      </c>
      <c r="G6" t="str">
        <f>VLOOKUP(DATA!B6,PROVID!$A$1:$B$2,2,FALSE)</f>
        <v>ACEH</v>
      </c>
      <c r="H6" t="str">
        <f>VLOOKUP(C6,KABID!$A$1:$B$2,2,FALSE)</f>
        <v>SIMEULUE</v>
      </c>
      <c r="I6" t="str">
        <f>VLOOKUP(D6,CAMID!$A$1:$B$7,2,FALSE)</f>
        <v>TEUPAH SELATAN</v>
      </c>
      <c r="J6" t="str">
        <f>VLOOKUP(E6,DESAID!$A$1:$B$113,2,FALSE)</f>
        <v>LATALING</v>
      </c>
    </row>
    <row r="7" spans="1:10" x14ac:dyDescent="0.25">
      <c r="A7">
        <v>6</v>
      </c>
      <c r="B7" s="10">
        <v>11</v>
      </c>
      <c r="C7" s="10">
        <v>1101</v>
      </c>
      <c r="D7" s="10">
        <v>1101010</v>
      </c>
      <c r="E7" s="10">
        <v>1101010006</v>
      </c>
      <c r="F7" s="8">
        <v>378</v>
      </c>
      <c r="G7" t="str">
        <f>VLOOKUP(DATA!B7,PROVID!$A$1:$B$2,2,FALSE)</f>
        <v>ACEH</v>
      </c>
      <c r="H7" t="str">
        <f>VLOOKUP(C7,KABID!$A$1:$B$2,2,FALSE)</f>
        <v>SIMEULUE</v>
      </c>
      <c r="I7" t="str">
        <f>VLOOKUP(D7,CAMID!$A$1:$B$7,2,FALSE)</f>
        <v>TEUPAH SELATAN</v>
      </c>
      <c r="J7" t="str">
        <f>VLOOKUP(E7,DESAID!$A$1:$B$113,2,FALSE)</f>
        <v>PULAU BENGKALAK</v>
      </c>
    </row>
    <row r="8" spans="1:10" x14ac:dyDescent="0.25">
      <c r="A8">
        <v>7</v>
      </c>
      <c r="B8" s="10">
        <v>11</v>
      </c>
      <c r="C8" s="10">
        <v>1101</v>
      </c>
      <c r="D8" s="10">
        <v>1101010</v>
      </c>
      <c r="E8" s="10">
        <v>1101010007</v>
      </c>
      <c r="F8" s="8">
        <v>289</v>
      </c>
      <c r="G8" t="str">
        <f>VLOOKUP(DATA!B8,PROVID!$A$1:$B$2,2,FALSE)</f>
        <v>ACEH</v>
      </c>
      <c r="H8" t="str">
        <f>VLOOKUP(C8,KABID!$A$1:$B$2,2,FALSE)</f>
        <v>SIMEULUE</v>
      </c>
      <c r="I8" t="str">
        <f>VLOOKUP(D8,CAMID!$A$1:$B$7,2,FALSE)</f>
        <v>TEUPAH SELATAN</v>
      </c>
      <c r="J8" t="str">
        <f>VLOOKUP(E8,DESAID!$A$1:$B$113,2,FALSE)</f>
        <v>BADEGONG</v>
      </c>
    </row>
    <row r="9" spans="1:10" x14ac:dyDescent="0.25">
      <c r="A9">
        <v>8</v>
      </c>
      <c r="B9" s="10">
        <v>11</v>
      </c>
      <c r="C9" s="10">
        <v>1101</v>
      </c>
      <c r="D9" s="10">
        <v>1101010</v>
      </c>
      <c r="E9" s="10">
        <v>1101010008</v>
      </c>
      <c r="F9" s="8">
        <v>398</v>
      </c>
      <c r="G9" t="str">
        <f>VLOOKUP(DATA!B9,PROVID!$A$1:$B$2,2,FALSE)</f>
        <v>ACEH</v>
      </c>
      <c r="H9" t="str">
        <f>VLOOKUP(C9,KABID!$A$1:$B$2,2,FALSE)</f>
        <v>SIMEULUE</v>
      </c>
      <c r="I9" t="str">
        <f>VLOOKUP(D9,CAMID!$A$1:$B$7,2,FALSE)</f>
        <v>TEUPAH SELATAN</v>
      </c>
      <c r="J9" t="str">
        <f>VLOOKUP(E9,DESAID!$A$1:$B$113,2,FALSE)</f>
        <v>KEBUN BARU</v>
      </c>
    </row>
    <row r="10" spans="1:10" x14ac:dyDescent="0.25">
      <c r="A10">
        <v>9</v>
      </c>
      <c r="B10" s="10">
        <v>11</v>
      </c>
      <c r="C10" s="10">
        <v>1101</v>
      </c>
      <c r="D10" s="10">
        <v>1101010</v>
      </c>
      <c r="E10" s="10">
        <v>1101010009</v>
      </c>
      <c r="F10" s="8">
        <v>310</v>
      </c>
      <c r="G10" t="str">
        <f>VLOOKUP(DATA!B10,PROVID!$A$1:$B$2,2,FALSE)</f>
        <v>ACEH</v>
      </c>
      <c r="H10" t="str">
        <f>VLOOKUP(C10,KABID!$A$1:$B$2,2,FALSE)</f>
        <v>SIMEULUE</v>
      </c>
      <c r="I10" t="str">
        <f>VLOOKUP(D10,CAMID!$A$1:$B$7,2,FALSE)</f>
        <v>TEUPAH SELATAN</v>
      </c>
      <c r="J10" t="str">
        <f>VLOOKUP(E10,DESAID!$A$1:$B$113,2,FALSE)</f>
        <v>ULUL MANYANG</v>
      </c>
    </row>
    <row r="11" spans="1:10" x14ac:dyDescent="0.25">
      <c r="A11">
        <v>10</v>
      </c>
      <c r="B11" s="10">
        <v>11</v>
      </c>
      <c r="C11" s="10">
        <v>1101</v>
      </c>
      <c r="D11" s="10">
        <v>1101010</v>
      </c>
      <c r="E11" s="10">
        <v>1101010010</v>
      </c>
      <c r="F11" s="8">
        <v>396</v>
      </c>
      <c r="G11" t="str">
        <f>VLOOKUP(DATA!B11,PROVID!$A$1:$B$2,2,FALSE)</f>
        <v>ACEH</v>
      </c>
      <c r="H11" t="str">
        <f>VLOOKUP(C11,KABID!$A$1:$B$2,2,FALSE)</f>
        <v>SIMEULUE</v>
      </c>
      <c r="I11" t="str">
        <f>VLOOKUP(D11,CAMID!$A$1:$B$7,2,FALSE)</f>
        <v>TEUPAH SELATAN</v>
      </c>
      <c r="J11" t="str">
        <f>VLOOKUP(E11,DESAID!$A$1:$B$113,2,FALSE)</f>
        <v>PASIR TINGGI</v>
      </c>
    </row>
    <row r="12" spans="1:10" x14ac:dyDescent="0.25">
      <c r="A12">
        <v>11</v>
      </c>
      <c r="B12" s="10">
        <v>11</v>
      </c>
      <c r="C12" s="10">
        <v>1101</v>
      </c>
      <c r="D12" s="10">
        <v>1101010</v>
      </c>
      <c r="E12" s="10">
        <v>1101010011</v>
      </c>
      <c r="F12" s="8">
        <v>568</v>
      </c>
      <c r="G12" t="str">
        <f>VLOOKUP(DATA!B12,PROVID!$A$1:$B$2,2,FALSE)</f>
        <v>ACEH</v>
      </c>
      <c r="H12" t="str">
        <f>VLOOKUP(C12,KABID!$A$1:$B$2,2,FALSE)</f>
        <v>SIMEULUE</v>
      </c>
      <c r="I12" t="str">
        <f>VLOOKUP(D12,CAMID!$A$1:$B$7,2,FALSE)</f>
        <v>TEUPAH SELATAN</v>
      </c>
      <c r="J12" t="str">
        <f>VLOOKUP(E12,DESAID!$A$1:$B$113,2,FALSE)</f>
        <v>LABUHAN JAYA</v>
      </c>
    </row>
    <row r="13" spans="1:10" x14ac:dyDescent="0.25">
      <c r="A13">
        <v>12</v>
      </c>
      <c r="B13" s="10">
        <v>11</v>
      </c>
      <c r="C13" s="10">
        <v>1101</v>
      </c>
      <c r="D13" s="10">
        <v>1101010</v>
      </c>
      <c r="E13" s="10">
        <v>1101010012</v>
      </c>
      <c r="F13" s="8">
        <v>1127</v>
      </c>
      <c r="G13" t="str">
        <f>VLOOKUP(DATA!B13,PROVID!$A$1:$B$2,2,FALSE)</f>
        <v>ACEH</v>
      </c>
      <c r="H13" t="str">
        <f>VLOOKUP(C13,KABID!$A$1:$B$2,2,FALSE)</f>
        <v>SIMEULUE</v>
      </c>
      <c r="I13" t="str">
        <f>VLOOKUP(D13,CAMID!$A$1:$B$7,2,FALSE)</f>
        <v>TEUPAH SELATAN</v>
      </c>
      <c r="J13" t="str">
        <f>VLOOKUP(E13,DESAID!$A$1:$B$113,2,FALSE)</f>
        <v>LABUHAN BAKTI</v>
      </c>
    </row>
    <row r="14" spans="1:10" x14ac:dyDescent="0.25">
      <c r="A14">
        <v>13</v>
      </c>
      <c r="B14" s="10">
        <v>11</v>
      </c>
      <c r="C14" s="10">
        <v>1101</v>
      </c>
      <c r="D14" s="10">
        <v>1101010</v>
      </c>
      <c r="E14" s="10">
        <v>1101010013</v>
      </c>
      <c r="F14" s="8">
        <v>359</v>
      </c>
      <c r="G14" t="str">
        <f>VLOOKUP(DATA!B14,PROVID!$A$1:$B$2,2,FALSE)</f>
        <v>ACEH</v>
      </c>
      <c r="H14" t="str">
        <f>VLOOKUP(C14,KABID!$A$1:$B$2,2,FALSE)</f>
        <v>SIMEULUE</v>
      </c>
      <c r="I14" t="str">
        <f>VLOOKUP(D14,CAMID!$A$1:$B$7,2,FALSE)</f>
        <v>TEUPAH SELATAN</v>
      </c>
      <c r="J14" t="str">
        <f>VLOOKUP(E14,DESAID!$A$1:$B$113,2,FALSE)</f>
        <v>BATU RALANG</v>
      </c>
    </row>
    <row r="15" spans="1:10" x14ac:dyDescent="0.25">
      <c r="A15">
        <v>14</v>
      </c>
      <c r="B15" s="10">
        <v>11</v>
      </c>
      <c r="C15" s="10">
        <v>1101</v>
      </c>
      <c r="D15" s="10">
        <v>1101010</v>
      </c>
      <c r="E15" s="10">
        <v>1101010014</v>
      </c>
      <c r="F15" s="8">
        <v>627</v>
      </c>
      <c r="G15" t="str">
        <f>VLOOKUP(DATA!B15,PROVID!$A$1:$B$2,2,FALSE)</f>
        <v>ACEH</v>
      </c>
      <c r="H15" t="str">
        <f>VLOOKUP(C15,KABID!$A$1:$B$2,2,FALSE)</f>
        <v>SIMEULUE</v>
      </c>
      <c r="I15" t="str">
        <f>VLOOKUP(D15,CAMID!$A$1:$B$7,2,FALSE)</f>
        <v>TEUPAH SELATAN</v>
      </c>
      <c r="J15" t="str">
        <f>VLOOKUP(E15,DESAID!$A$1:$B$113,2,FALSE)</f>
        <v>ALUS ALUS</v>
      </c>
    </row>
    <row r="16" spans="1:10" x14ac:dyDescent="0.25">
      <c r="A16">
        <v>15</v>
      </c>
      <c r="B16" s="10">
        <v>11</v>
      </c>
      <c r="C16" s="10">
        <v>1101</v>
      </c>
      <c r="D16" s="10">
        <v>1101010</v>
      </c>
      <c r="E16" s="10">
        <v>1101010015</v>
      </c>
      <c r="F16" s="8">
        <v>490</v>
      </c>
      <c r="G16" t="str">
        <f>VLOOKUP(DATA!B16,PROVID!$A$1:$B$2,2,FALSE)</f>
        <v>ACEH</v>
      </c>
      <c r="H16" t="str">
        <f>VLOOKUP(C16,KABID!$A$1:$B$2,2,FALSE)</f>
        <v>SIMEULUE</v>
      </c>
      <c r="I16" t="str">
        <f>VLOOKUP(D16,CAMID!$A$1:$B$7,2,FALSE)</f>
        <v>TEUPAH SELATAN</v>
      </c>
      <c r="J16" t="str">
        <f>VLOOKUP(E16,DESAID!$A$1:$B$113,2,FALSE)</f>
        <v>SEUNEUBOK</v>
      </c>
    </row>
    <row r="17" spans="1:10" x14ac:dyDescent="0.25">
      <c r="A17">
        <v>16</v>
      </c>
      <c r="B17" s="10">
        <v>11</v>
      </c>
      <c r="C17" s="10">
        <v>1101</v>
      </c>
      <c r="D17" s="10">
        <v>1101010</v>
      </c>
      <c r="E17" s="10">
        <v>1101010016</v>
      </c>
      <c r="F17" s="8">
        <v>594</v>
      </c>
      <c r="G17" t="str">
        <f>VLOOKUP(DATA!B17,PROVID!$A$1:$B$2,2,FALSE)</f>
        <v>ACEH</v>
      </c>
      <c r="H17" t="str">
        <f>VLOOKUP(C17,KABID!$A$1:$B$2,2,FALSE)</f>
        <v>SIMEULUE</v>
      </c>
      <c r="I17" t="str">
        <f>VLOOKUP(D17,CAMID!$A$1:$B$7,2,FALSE)</f>
        <v>TEUPAH SELATAN</v>
      </c>
      <c r="J17" t="str">
        <f>VLOOKUP(E17,DESAID!$A$1:$B$113,2,FALSE)</f>
        <v>BLANG SEBEL</v>
      </c>
    </row>
    <row r="18" spans="1:10" x14ac:dyDescent="0.25">
      <c r="A18">
        <v>17</v>
      </c>
      <c r="B18" s="10">
        <v>11</v>
      </c>
      <c r="C18" s="10">
        <v>1101</v>
      </c>
      <c r="D18" s="10">
        <v>1101010</v>
      </c>
      <c r="E18" s="10">
        <v>1101010017</v>
      </c>
      <c r="F18" s="8">
        <v>218</v>
      </c>
      <c r="G18" t="str">
        <f>VLOOKUP(DATA!B18,PROVID!$A$1:$B$2,2,FALSE)</f>
        <v>ACEH</v>
      </c>
      <c r="H18" t="str">
        <f>VLOOKUP(C18,KABID!$A$1:$B$2,2,FALSE)</f>
        <v>SIMEULUE</v>
      </c>
      <c r="I18" t="str">
        <f>VLOOKUP(D18,CAMID!$A$1:$B$7,2,FALSE)</f>
        <v>TEUPAH SELATAN</v>
      </c>
      <c r="J18" t="str">
        <f>VLOOKUP(E18,DESAID!$A$1:$B$113,2,FALSE)</f>
        <v>TRANS BARU</v>
      </c>
    </row>
    <row r="19" spans="1:10" x14ac:dyDescent="0.25">
      <c r="A19">
        <v>18</v>
      </c>
      <c r="B19" s="10">
        <v>11</v>
      </c>
      <c r="C19" s="10">
        <v>1101</v>
      </c>
      <c r="D19" s="10">
        <v>1101010</v>
      </c>
      <c r="E19" s="10">
        <v>1101010018</v>
      </c>
      <c r="F19" s="8">
        <v>377</v>
      </c>
      <c r="G19" t="str">
        <f>VLOOKUP(DATA!B19,PROVID!$A$1:$B$2,2,FALSE)</f>
        <v>ACEH</v>
      </c>
      <c r="H19" t="str">
        <f>VLOOKUP(C19,KABID!$A$1:$B$2,2,FALSE)</f>
        <v>SIMEULUE</v>
      </c>
      <c r="I19" t="str">
        <f>VLOOKUP(D19,CAMID!$A$1:$B$7,2,FALSE)</f>
        <v>TEUPAH SELATAN</v>
      </c>
      <c r="J19" t="str">
        <f>VLOOKUP(E19,DESAID!$A$1:$B$113,2,FALSE)</f>
        <v>TRANS MERANTI</v>
      </c>
    </row>
    <row r="20" spans="1:10" x14ac:dyDescent="0.25">
      <c r="A20">
        <v>19</v>
      </c>
      <c r="B20" s="10">
        <v>11</v>
      </c>
      <c r="C20" s="10">
        <v>1101</v>
      </c>
      <c r="D20" s="10">
        <v>1101010</v>
      </c>
      <c r="E20" s="10">
        <v>1101010019</v>
      </c>
      <c r="F20" s="8">
        <v>303</v>
      </c>
      <c r="G20" t="str">
        <f>VLOOKUP(DATA!B20,PROVID!$A$1:$B$2,2,FALSE)</f>
        <v>ACEH</v>
      </c>
      <c r="H20" t="str">
        <f>VLOOKUP(C20,KABID!$A$1:$B$2,2,FALSE)</f>
        <v>SIMEULUE</v>
      </c>
      <c r="I20" t="str">
        <f>VLOOKUP(D20,CAMID!$A$1:$B$7,2,FALSE)</f>
        <v>TEUPAH SELATAN</v>
      </c>
      <c r="J20" t="str">
        <f>VLOOKUP(E20,DESAID!$A$1:$B$113,2,FALSE)</f>
        <v>TRANS JERNGE</v>
      </c>
    </row>
    <row r="21" spans="1:10" x14ac:dyDescent="0.25">
      <c r="A21">
        <v>20</v>
      </c>
      <c r="B21" s="10">
        <v>11</v>
      </c>
      <c r="C21" s="10">
        <v>1101</v>
      </c>
      <c r="D21" s="10">
        <v>1101020</v>
      </c>
      <c r="E21" s="10">
        <v>1101020001</v>
      </c>
      <c r="F21" s="8">
        <v>499</v>
      </c>
      <c r="G21" t="str">
        <f>VLOOKUP(DATA!B21,PROVID!$A$1:$B$2,2,FALSE)</f>
        <v>ACEH</v>
      </c>
      <c r="H21" t="str">
        <f>VLOOKUP(C21,KABID!$A$1:$B$2,2,FALSE)</f>
        <v>SIMEULUE</v>
      </c>
      <c r="I21" t="str">
        <f>VLOOKUP(D21,CAMID!$A$1:$B$7,2,FALSE)</f>
        <v>SIMEULUE TIMUR</v>
      </c>
      <c r="J21" t="str">
        <f>VLOOKUP(E21,DESAID!$A$1:$B$113,2,FALSE)</f>
        <v>MATANURUNG</v>
      </c>
    </row>
    <row r="22" spans="1:10" x14ac:dyDescent="0.25">
      <c r="A22">
        <v>21</v>
      </c>
      <c r="B22" s="10">
        <v>11</v>
      </c>
      <c r="C22" s="10">
        <v>1101</v>
      </c>
      <c r="D22" s="10">
        <v>1101020</v>
      </c>
      <c r="E22" s="10">
        <v>1101020002</v>
      </c>
      <c r="F22" s="8">
        <v>899</v>
      </c>
      <c r="G22" t="str">
        <f>VLOOKUP(DATA!B22,PROVID!$A$1:$B$2,2,FALSE)</f>
        <v>ACEH</v>
      </c>
      <c r="H22" t="str">
        <f>VLOOKUP(C22,KABID!$A$1:$B$2,2,FALSE)</f>
        <v>SIMEULUE</v>
      </c>
      <c r="I22" t="str">
        <f>VLOOKUP(D22,CAMID!$A$1:$B$7,2,FALSE)</f>
        <v>SIMEULUE TIMUR</v>
      </c>
      <c r="J22" t="str">
        <f>VLOOKUP(E22,DESAID!$A$1:$B$113,2,FALSE)</f>
        <v>LASIKIN</v>
      </c>
    </row>
    <row r="23" spans="1:10" x14ac:dyDescent="0.25">
      <c r="A23">
        <v>22</v>
      </c>
      <c r="B23" s="10">
        <v>11</v>
      </c>
      <c r="C23" s="10">
        <v>1101</v>
      </c>
      <c r="D23" s="10">
        <v>1101020</v>
      </c>
      <c r="E23" s="10">
        <v>1101020003</v>
      </c>
      <c r="F23" s="8">
        <v>400</v>
      </c>
      <c r="G23" t="str">
        <f>VLOOKUP(DATA!B23,PROVID!$A$1:$B$2,2,FALSE)</f>
        <v>ACEH</v>
      </c>
      <c r="H23" t="str">
        <f>VLOOKUP(C23,KABID!$A$1:$B$2,2,FALSE)</f>
        <v>SIMEULUE</v>
      </c>
      <c r="I23" t="str">
        <f>VLOOKUP(D23,CAMID!$A$1:$B$7,2,FALSE)</f>
        <v>SIMEULUE TIMUR</v>
      </c>
      <c r="J23" t="str">
        <f>VLOOKUP(E23,DESAID!$A$1:$B$113,2,FALSE)</f>
        <v>LANTING</v>
      </c>
    </row>
    <row r="24" spans="1:10" x14ac:dyDescent="0.25">
      <c r="A24">
        <v>23</v>
      </c>
      <c r="B24" s="10">
        <v>11</v>
      </c>
      <c r="C24" s="10">
        <v>1101</v>
      </c>
      <c r="D24" s="10">
        <v>1101020</v>
      </c>
      <c r="E24" s="10">
        <v>1101020004</v>
      </c>
      <c r="F24" s="8">
        <v>334</v>
      </c>
      <c r="G24" t="str">
        <f>VLOOKUP(DATA!B24,PROVID!$A$1:$B$2,2,FALSE)</f>
        <v>ACEH</v>
      </c>
      <c r="H24" t="str">
        <f>VLOOKUP(C24,KABID!$A$1:$B$2,2,FALSE)</f>
        <v>SIMEULUE</v>
      </c>
      <c r="I24" t="str">
        <f>VLOOKUP(D24,CAMID!$A$1:$B$7,2,FALSE)</f>
        <v>SIMEULUE TIMUR</v>
      </c>
      <c r="J24" t="str">
        <f>VLOOKUP(E24,DESAID!$A$1:$B$113,2,FALSE)</f>
        <v>SIMPANG ABAIL</v>
      </c>
    </row>
    <row r="25" spans="1:10" x14ac:dyDescent="0.25">
      <c r="A25">
        <v>24</v>
      </c>
      <c r="B25" s="10">
        <v>11</v>
      </c>
      <c r="C25" s="10">
        <v>1101</v>
      </c>
      <c r="D25" s="10">
        <v>1101020</v>
      </c>
      <c r="E25" s="10">
        <v>1101020005</v>
      </c>
      <c r="F25" s="8">
        <v>324</v>
      </c>
      <c r="G25" t="str">
        <f>VLOOKUP(DATA!B25,PROVID!$A$1:$B$2,2,FALSE)</f>
        <v>ACEH</v>
      </c>
      <c r="H25" t="str">
        <f>VLOOKUP(C25,KABID!$A$1:$B$2,2,FALSE)</f>
        <v>SIMEULUE</v>
      </c>
      <c r="I25" t="str">
        <f>VLOOKUP(D25,CAMID!$A$1:$B$7,2,FALSE)</f>
        <v>SIMEULUE TIMUR</v>
      </c>
      <c r="J25" t="str">
        <f>VLOOKUP(E25,DESAID!$A$1:$B$113,2,FALSE)</f>
        <v>ABAIL</v>
      </c>
    </row>
    <row r="26" spans="1:10" x14ac:dyDescent="0.25">
      <c r="A26">
        <v>25</v>
      </c>
      <c r="B26" s="10">
        <v>11</v>
      </c>
      <c r="C26" s="10">
        <v>1101</v>
      </c>
      <c r="D26" s="10">
        <v>1101020</v>
      </c>
      <c r="E26" s="10">
        <v>1101020006</v>
      </c>
      <c r="F26" s="8">
        <v>275</v>
      </c>
      <c r="G26" t="str">
        <f>VLOOKUP(DATA!B26,PROVID!$A$1:$B$2,2,FALSE)</f>
        <v>ACEH</v>
      </c>
      <c r="H26" t="str">
        <f>VLOOKUP(C26,KABID!$A$1:$B$2,2,FALSE)</f>
        <v>SIMEULUE</v>
      </c>
      <c r="I26" t="str">
        <f>VLOOKUP(D26,CAMID!$A$1:$B$7,2,FALSE)</f>
        <v>SIMEULUE TIMUR</v>
      </c>
      <c r="J26" t="str">
        <f>VLOOKUP(E26,DESAID!$A$1:$B$113,2,FALSE)</f>
        <v>NANCAWA</v>
      </c>
    </row>
    <row r="27" spans="1:10" x14ac:dyDescent="0.25">
      <c r="A27">
        <v>26</v>
      </c>
      <c r="B27" s="10">
        <v>11</v>
      </c>
      <c r="C27" s="10">
        <v>1101</v>
      </c>
      <c r="D27" s="10">
        <v>1101020</v>
      </c>
      <c r="E27" s="10">
        <v>1101020007</v>
      </c>
      <c r="F27" s="8">
        <v>452</v>
      </c>
      <c r="G27" t="str">
        <f>VLOOKUP(DATA!B27,PROVID!$A$1:$B$2,2,FALSE)</f>
        <v>ACEH</v>
      </c>
      <c r="H27" t="str">
        <f>VLOOKUP(C27,KABID!$A$1:$B$2,2,FALSE)</f>
        <v>SIMEULUE</v>
      </c>
      <c r="I27" t="str">
        <f>VLOOKUP(D27,CAMID!$A$1:$B$7,2,FALSE)</f>
        <v>SIMEULUE TIMUR</v>
      </c>
      <c r="J27" t="str">
        <f>VLOOKUP(E27,DESAID!$A$1:$B$113,2,FALSE)</f>
        <v>LABUAH</v>
      </c>
    </row>
    <row r="28" spans="1:10" x14ac:dyDescent="0.25">
      <c r="A28">
        <v>27</v>
      </c>
      <c r="B28" s="10">
        <v>11</v>
      </c>
      <c r="C28" s="10">
        <v>1101</v>
      </c>
      <c r="D28" s="10">
        <v>1101020</v>
      </c>
      <c r="E28" s="10">
        <v>1101020008</v>
      </c>
      <c r="F28" s="8">
        <v>655</v>
      </c>
      <c r="G28" t="str">
        <f>VLOOKUP(DATA!B28,PROVID!$A$1:$B$2,2,FALSE)</f>
        <v>ACEH</v>
      </c>
      <c r="H28" t="str">
        <f>VLOOKUP(C28,KABID!$A$1:$B$2,2,FALSE)</f>
        <v>SIMEULUE</v>
      </c>
      <c r="I28" t="str">
        <f>VLOOKUP(D28,CAMID!$A$1:$B$7,2,FALSE)</f>
        <v>SIMEULUE TIMUR</v>
      </c>
      <c r="J28" t="str">
        <f>VLOOKUP(E28,DESAID!$A$1:$B$113,2,FALSE)</f>
        <v>SUA SUA</v>
      </c>
    </row>
    <row r="29" spans="1:10" x14ac:dyDescent="0.25">
      <c r="A29">
        <v>28</v>
      </c>
      <c r="B29" s="10">
        <v>11</v>
      </c>
      <c r="C29" s="10">
        <v>1101</v>
      </c>
      <c r="D29" s="10">
        <v>1101020</v>
      </c>
      <c r="E29" s="10">
        <v>1101020009</v>
      </c>
      <c r="F29" s="8">
        <v>609</v>
      </c>
      <c r="G29" t="str">
        <f>VLOOKUP(DATA!B29,PROVID!$A$1:$B$2,2,FALSE)</f>
        <v>ACEH</v>
      </c>
      <c r="H29" t="str">
        <f>VLOOKUP(C29,KABID!$A$1:$B$2,2,FALSE)</f>
        <v>SIMEULUE</v>
      </c>
      <c r="I29" t="str">
        <f>VLOOKUP(D29,CAMID!$A$1:$B$7,2,FALSE)</f>
        <v>SIMEULUE TIMUR</v>
      </c>
      <c r="J29" t="str">
        <f>VLOOKUP(E29,DESAID!$A$1:$B$113,2,FALSE)</f>
        <v>BATU BATU</v>
      </c>
    </row>
    <row r="30" spans="1:10" x14ac:dyDescent="0.25">
      <c r="A30">
        <v>29</v>
      </c>
      <c r="B30" s="10">
        <v>11</v>
      </c>
      <c r="C30" s="10">
        <v>1101</v>
      </c>
      <c r="D30" s="10">
        <v>1101020</v>
      </c>
      <c r="E30" s="10">
        <v>1101020010</v>
      </c>
      <c r="F30" s="8">
        <v>225</v>
      </c>
      <c r="G30" t="str">
        <f>VLOOKUP(DATA!B30,PROVID!$A$1:$B$2,2,FALSE)</f>
        <v>ACEH</v>
      </c>
      <c r="H30" t="str">
        <f>VLOOKUP(C30,KABID!$A$1:$B$2,2,FALSE)</f>
        <v>SIMEULUE</v>
      </c>
      <c r="I30" t="str">
        <f>VLOOKUP(D30,CAMID!$A$1:$B$7,2,FALSE)</f>
        <v>SIMEULUE TIMUR</v>
      </c>
      <c r="J30" t="str">
        <f>VLOOKUP(E30,DESAID!$A$1:$B$113,2,FALSE)</f>
        <v>SITUBUK</v>
      </c>
    </row>
    <row r="31" spans="1:10" x14ac:dyDescent="0.25">
      <c r="A31">
        <v>30</v>
      </c>
      <c r="B31" s="10">
        <v>11</v>
      </c>
      <c r="C31" s="10">
        <v>1101</v>
      </c>
      <c r="D31" s="10">
        <v>1101020</v>
      </c>
      <c r="E31" s="10">
        <v>1101020022</v>
      </c>
      <c r="F31" s="8">
        <v>1089</v>
      </c>
      <c r="G31" t="str">
        <f>VLOOKUP(DATA!B31,PROVID!$A$1:$B$2,2,FALSE)</f>
        <v>ACEH</v>
      </c>
      <c r="H31" t="str">
        <f>VLOOKUP(C31,KABID!$A$1:$B$2,2,FALSE)</f>
        <v>SIMEULUE</v>
      </c>
      <c r="I31" t="str">
        <f>VLOOKUP(D31,CAMID!$A$1:$B$7,2,FALSE)</f>
        <v>SIMEULUE TIMUR</v>
      </c>
      <c r="J31" t="str">
        <f>VLOOKUP(E31,DESAID!$A$1:$B$113,2,FALSE)</f>
        <v>AIR PINANG</v>
      </c>
    </row>
    <row r="32" spans="1:10" x14ac:dyDescent="0.25">
      <c r="A32">
        <v>31</v>
      </c>
      <c r="B32" s="10">
        <v>11</v>
      </c>
      <c r="C32" s="10">
        <v>1101</v>
      </c>
      <c r="D32" s="10">
        <v>1101020</v>
      </c>
      <c r="E32" s="10">
        <v>1101020023</v>
      </c>
      <c r="F32" s="8">
        <v>1104</v>
      </c>
      <c r="G32" t="str">
        <f>VLOOKUP(DATA!B32,PROVID!$A$1:$B$2,2,FALSE)</f>
        <v>ACEH</v>
      </c>
      <c r="H32" t="str">
        <f>VLOOKUP(C32,KABID!$A$1:$B$2,2,FALSE)</f>
        <v>SIMEULUE</v>
      </c>
      <c r="I32" t="str">
        <f>VLOOKUP(D32,CAMID!$A$1:$B$7,2,FALSE)</f>
        <v>SIMEULUE TIMUR</v>
      </c>
      <c r="J32" t="str">
        <f>VLOOKUP(E32,DESAID!$A$1:$B$113,2,FALSE)</f>
        <v>KUALA MAKMUR</v>
      </c>
    </row>
    <row r="33" spans="1:10" x14ac:dyDescent="0.25">
      <c r="A33">
        <v>32</v>
      </c>
      <c r="B33" s="10">
        <v>11</v>
      </c>
      <c r="C33" s="10">
        <v>1101</v>
      </c>
      <c r="D33" s="10">
        <v>1101020</v>
      </c>
      <c r="E33" s="10">
        <v>1101020024</v>
      </c>
      <c r="F33" s="8">
        <v>1151</v>
      </c>
      <c r="G33" t="str">
        <f>VLOOKUP(DATA!B33,PROVID!$A$1:$B$2,2,FALSE)</f>
        <v>ACEH</v>
      </c>
      <c r="H33" t="str">
        <f>VLOOKUP(C33,KABID!$A$1:$B$2,2,FALSE)</f>
        <v>SIMEULUE</v>
      </c>
      <c r="I33" t="str">
        <f>VLOOKUP(D33,CAMID!$A$1:$B$7,2,FALSE)</f>
        <v>SIMEULUE TIMUR</v>
      </c>
      <c r="J33" t="str">
        <f>VLOOKUP(E33,DESAID!$A$1:$B$113,2,FALSE)</f>
        <v>GANTING</v>
      </c>
    </row>
    <row r="34" spans="1:10" x14ac:dyDescent="0.25">
      <c r="A34">
        <v>33</v>
      </c>
      <c r="B34" s="10">
        <v>11</v>
      </c>
      <c r="C34" s="10">
        <v>1101</v>
      </c>
      <c r="D34" s="10">
        <v>1101020</v>
      </c>
      <c r="E34" s="10">
        <v>1101020025</v>
      </c>
      <c r="F34" s="8">
        <v>636</v>
      </c>
      <c r="G34" t="str">
        <f>VLOOKUP(DATA!B34,PROVID!$A$1:$B$2,2,FALSE)</f>
        <v>ACEH</v>
      </c>
      <c r="H34" t="str">
        <f>VLOOKUP(C34,KABID!$A$1:$B$2,2,FALSE)</f>
        <v>SIMEULUE</v>
      </c>
      <c r="I34" t="str">
        <f>VLOOKUP(D34,CAMID!$A$1:$B$7,2,FALSE)</f>
        <v>SIMEULUE TIMUR</v>
      </c>
      <c r="J34" t="str">
        <f>VLOOKUP(E34,DESAID!$A$1:$B$113,2,FALSE)</f>
        <v>LINGGI</v>
      </c>
    </row>
    <row r="35" spans="1:10" x14ac:dyDescent="0.25">
      <c r="A35">
        <v>34</v>
      </c>
      <c r="B35" s="10">
        <v>11</v>
      </c>
      <c r="C35" s="10">
        <v>1101</v>
      </c>
      <c r="D35" s="10">
        <v>1101020</v>
      </c>
      <c r="E35" s="10">
        <v>1101020026</v>
      </c>
      <c r="F35" s="8">
        <v>781</v>
      </c>
      <c r="G35" t="str">
        <f>VLOOKUP(DATA!B35,PROVID!$A$1:$B$2,2,FALSE)</f>
        <v>ACEH</v>
      </c>
      <c r="H35" t="str">
        <f>VLOOKUP(C35,KABID!$A$1:$B$2,2,FALSE)</f>
        <v>SIMEULUE</v>
      </c>
      <c r="I35" t="str">
        <f>VLOOKUP(D35,CAMID!$A$1:$B$7,2,FALSE)</f>
        <v>SIMEULUE TIMUR</v>
      </c>
      <c r="J35" t="str">
        <f>VLOOKUP(E35,DESAID!$A$1:$B$113,2,FALSE)</f>
        <v>LUGU</v>
      </c>
    </row>
    <row r="36" spans="1:10" x14ac:dyDescent="0.25">
      <c r="A36">
        <v>35</v>
      </c>
      <c r="B36" s="10">
        <v>11</v>
      </c>
      <c r="C36" s="10">
        <v>1101</v>
      </c>
      <c r="D36" s="10">
        <v>1101020</v>
      </c>
      <c r="E36" s="10">
        <v>1101020027</v>
      </c>
      <c r="F36" s="8">
        <v>1704</v>
      </c>
      <c r="G36" t="str">
        <f>VLOOKUP(DATA!B36,PROVID!$A$1:$B$2,2,FALSE)</f>
        <v>ACEH</v>
      </c>
      <c r="H36" t="str">
        <f>VLOOKUP(C36,KABID!$A$1:$B$2,2,FALSE)</f>
        <v>SIMEULUE</v>
      </c>
      <c r="I36" t="str">
        <f>VLOOKUP(D36,CAMID!$A$1:$B$7,2,FALSE)</f>
        <v>SIMEULUE TIMUR</v>
      </c>
      <c r="J36" t="str">
        <f>VLOOKUP(E36,DESAID!$A$1:$B$113,2,FALSE)</f>
        <v>SINABANG</v>
      </c>
    </row>
    <row r="37" spans="1:10" x14ac:dyDescent="0.25">
      <c r="A37">
        <v>36</v>
      </c>
      <c r="B37" s="10">
        <v>11</v>
      </c>
      <c r="C37" s="10">
        <v>1101</v>
      </c>
      <c r="D37" s="10">
        <v>1101020</v>
      </c>
      <c r="E37" s="10">
        <v>1101020028</v>
      </c>
      <c r="F37" s="8">
        <v>2415</v>
      </c>
      <c r="G37" t="str">
        <f>VLOOKUP(DATA!B37,PROVID!$A$1:$B$2,2,FALSE)</f>
        <v>ACEH</v>
      </c>
      <c r="H37" t="str">
        <f>VLOOKUP(C37,KABID!$A$1:$B$2,2,FALSE)</f>
        <v>SIMEULUE</v>
      </c>
      <c r="I37" t="str">
        <f>VLOOKUP(D37,CAMID!$A$1:$B$7,2,FALSE)</f>
        <v>SIMEULUE TIMUR</v>
      </c>
      <c r="J37" t="str">
        <f>VLOOKUP(E37,DESAID!$A$1:$B$113,2,FALSE)</f>
        <v>SUKA MAJU</v>
      </c>
    </row>
    <row r="38" spans="1:10" x14ac:dyDescent="0.25">
      <c r="A38">
        <v>37</v>
      </c>
      <c r="B38" s="10">
        <v>11</v>
      </c>
      <c r="C38" s="10">
        <v>1101</v>
      </c>
      <c r="D38" s="10">
        <v>1101020</v>
      </c>
      <c r="E38" s="10">
        <v>1101020029</v>
      </c>
      <c r="F38" s="8">
        <v>4466</v>
      </c>
      <c r="G38" t="str">
        <f>VLOOKUP(DATA!B38,PROVID!$A$1:$B$2,2,FALSE)</f>
        <v>ACEH</v>
      </c>
      <c r="H38" t="str">
        <f>VLOOKUP(C38,KABID!$A$1:$B$2,2,FALSE)</f>
        <v>SIMEULUE</v>
      </c>
      <c r="I38" t="str">
        <f>VLOOKUP(D38,CAMID!$A$1:$B$7,2,FALSE)</f>
        <v>SIMEULUE TIMUR</v>
      </c>
      <c r="J38" t="str">
        <f>VLOOKUP(E38,DESAID!$A$1:$B$113,2,FALSE)</f>
        <v>SUKA KARYA</v>
      </c>
    </row>
    <row r="39" spans="1:10" x14ac:dyDescent="0.25">
      <c r="A39">
        <v>38</v>
      </c>
      <c r="B39" s="10">
        <v>11</v>
      </c>
      <c r="C39" s="10">
        <v>1101</v>
      </c>
      <c r="D39" s="10">
        <v>1101020</v>
      </c>
      <c r="E39" s="10">
        <v>1101020030</v>
      </c>
      <c r="F39" s="8">
        <v>2536</v>
      </c>
      <c r="G39" t="str">
        <f>VLOOKUP(DATA!B39,PROVID!$A$1:$B$2,2,FALSE)</f>
        <v>ACEH</v>
      </c>
      <c r="H39" t="str">
        <f>VLOOKUP(C39,KABID!$A$1:$B$2,2,FALSE)</f>
        <v>SIMEULUE</v>
      </c>
      <c r="I39" t="str">
        <f>VLOOKUP(D39,CAMID!$A$1:$B$7,2,FALSE)</f>
        <v>SIMEULUE TIMUR</v>
      </c>
      <c r="J39" t="str">
        <f>VLOOKUP(E39,DESAID!$A$1:$B$113,2,FALSE)</f>
        <v>SUKA JAYA</v>
      </c>
    </row>
    <row r="40" spans="1:10" x14ac:dyDescent="0.25">
      <c r="A40">
        <v>39</v>
      </c>
      <c r="B40" s="10">
        <v>11</v>
      </c>
      <c r="C40" s="10">
        <v>1101</v>
      </c>
      <c r="D40" s="10">
        <v>1101020</v>
      </c>
      <c r="E40" s="10">
        <v>1101020031</v>
      </c>
      <c r="F40" s="8">
        <v>2728</v>
      </c>
      <c r="G40" t="str">
        <f>VLOOKUP(DATA!B40,PROVID!$A$1:$B$2,2,FALSE)</f>
        <v>ACEH</v>
      </c>
      <c r="H40" t="str">
        <f>VLOOKUP(C40,KABID!$A$1:$B$2,2,FALSE)</f>
        <v>SIMEULUE</v>
      </c>
      <c r="I40" t="str">
        <f>VLOOKUP(D40,CAMID!$A$1:$B$7,2,FALSE)</f>
        <v>SIMEULUE TIMUR</v>
      </c>
      <c r="J40" t="str">
        <f>VLOOKUP(E40,DESAID!$A$1:$B$113,2,FALSE)</f>
        <v>AIR DINGIN</v>
      </c>
    </row>
    <row r="41" spans="1:10" x14ac:dyDescent="0.25">
      <c r="A41">
        <v>40</v>
      </c>
      <c r="B41" s="10">
        <v>11</v>
      </c>
      <c r="C41" s="10">
        <v>1101</v>
      </c>
      <c r="D41" s="10">
        <v>1101020</v>
      </c>
      <c r="E41" s="10">
        <v>1101020032</v>
      </c>
      <c r="F41" s="8">
        <v>1080</v>
      </c>
      <c r="G41" t="str">
        <f>VLOOKUP(DATA!B41,PROVID!$A$1:$B$2,2,FALSE)</f>
        <v>ACEH</v>
      </c>
      <c r="H41" t="str">
        <f>VLOOKUP(C41,KABID!$A$1:$B$2,2,FALSE)</f>
        <v>SIMEULUE</v>
      </c>
      <c r="I41" t="str">
        <f>VLOOKUP(D41,CAMID!$A$1:$B$7,2,FALSE)</f>
        <v>SIMEULUE TIMUR</v>
      </c>
      <c r="J41" t="str">
        <f>VLOOKUP(E41,DESAID!$A$1:$B$113,2,FALSE)</f>
        <v>KOTA BATU</v>
      </c>
    </row>
    <row r="42" spans="1:10" x14ac:dyDescent="0.25">
      <c r="A42">
        <v>41</v>
      </c>
      <c r="B42" s="10">
        <v>11</v>
      </c>
      <c r="C42" s="10">
        <v>1101</v>
      </c>
      <c r="D42" s="10">
        <v>1101020</v>
      </c>
      <c r="E42" s="10">
        <v>1101020033</v>
      </c>
      <c r="F42" s="8">
        <v>587</v>
      </c>
      <c r="G42" t="str">
        <f>VLOOKUP(DATA!B42,PROVID!$A$1:$B$2,2,FALSE)</f>
        <v>ACEH</v>
      </c>
      <c r="H42" t="str">
        <f>VLOOKUP(C42,KABID!$A$1:$B$2,2,FALSE)</f>
        <v>SIMEULUE</v>
      </c>
      <c r="I42" t="str">
        <f>VLOOKUP(D42,CAMID!$A$1:$B$7,2,FALSE)</f>
        <v>SIMEULUE TIMUR</v>
      </c>
      <c r="J42" t="str">
        <f>VLOOKUP(E42,DESAID!$A$1:$B$113,2,FALSE)</f>
        <v>BUSUNG INDAH</v>
      </c>
    </row>
    <row r="43" spans="1:10" x14ac:dyDescent="0.25">
      <c r="A43">
        <v>42</v>
      </c>
      <c r="B43" s="10">
        <v>11</v>
      </c>
      <c r="C43" s="10">
        <v>1101</v>
      </c>
      <c r="D43" s="10">
        <v>1101020</v>
      </c>
      <c r="E43" s="10">
        <v>1101020034</v>
      </c>
      <c r="F43" s="8">
        <v>533</v>
      </c>
      <c r="G43" t="str">
        <f>VLOOKUP(DATA!B43,PROVID!$A$1:$B$2,2,FALSE)</f>
        <v>ACEH</v>
      </c>
      <c r="H43" t="str">
        <f>VLOOKUP(C43,KABID!$A$1:$B$2,2,FALSE)</f>
        <v>SIMEULUE</v>
      </c>
      <c r="I43" t="str">
        <f>VLOOKUP(D43,CAMID!$A$1:$B$7,2,FALSE)</f>
        <v>SIMEULUE TIMUR</v>
      </c>
      <c r="J43" t="str">
        <f>VLOOKUP(E43,DESAID!$A$1:$B$113,2,FALSE)</f>
        <v>KAHAT</v>
      </c>
    </row>
    <row r="44" spans="1:10" x14ac:dyDescent="0.25">
      <c r="A44">
        <v>43</v>
      </c>
      <c r="B44" s="10">
        <v>11</v>
      </c>
      <c r="C44" s="10">
        <v>1101</v>
      </c>
      <c r="D44" s="10">
        <v>1101020</v>
      </c>
      <c r="E44" s="10">
        <v>1101020035</v>
      </c>
      <c r="F44" s="8">
        <v>1184</v>
      </c>
      <c r="G44" t="str">
        <f>VLOOKUP(DATA!B44,PROVID!$A$1:$B$2,2,FALSE)</f>
        <v>ACEH</v>
      </c>
      <c r="H44" t="str">
        <f>VLOOKUP(C44,KABID!$A$1:$B$2,2,FALSE)</f>
        <v>SIMEULUE</v>
      </c>
      <c r="I44" t="str">
        <f>VLOOKUP(D44,CAMID!$A$1:$B$7,2,FALSE)</f>
        <v>SIMEULUE TIMUR</v>
      </c>
      <c r="J44" t="str">
        <f>VLOOKUP(E44,DESAID!$A$1:$B$113,2,FALSE)</f>
        <v>SUAK BULUH</v>
      </c>
    </row>
    <row r="45" spans="1:10" x14ac:dyDescent="0.25">
      <c r="A45">
        <v>44</v>
      </c>
      <c r="B45" s="10">
        <v>11</v>
      </c>
      <c r="C45" s="10">
        <v>1101</v>
      </c>
      <c r="D45" s="10">
        <v>1101020</v>
      </c>
      <c r="E45" s="10">
        <v>1101020036</v>
      </c>
      <c r="F45" s="8">
        <v>388</v>
      </c>
      <c r="G45" t="str">
        <f>VLOOKUP(DATA!B45,PROVID!$A$1:$B$2,2,FALSE)</f>
        <v>ACEH</v>
      </c>
      <c r="H45" t="str">
        <f>VLOOKUP(C45,KABID!$A$1:$B$2,2,FALSE)</f>
        <v>SIMEULUE</v>
      </c>
      <c r="I45" t="str">
        <f>VLOOKUP(D45,CAMID!$A$1:$B$7,2,FALSE)</f>
        <v>SIMEULUE TIMUR</v>
      </c>
      <c r="J45" t="str">
        <f>VLOOKUP(E45,DESAID!$A$1:$B$113,2,FALSE)</f>
        <v>UJUNG TINGGI</v>
      </c>
    </row>
    <row r="46" spans="1:10" x14ac:dyDescent="0.25">
      <c r="A46">
        <v>45</v>
      </c>
      <c r="B46" s="10">
        <v>11</v>
      </c>
      <c r="C46" s="10">
        <v>1101</v>
      </c>
      <c r="D46" s="10">
        <v>1101020</v>
      </c>
      <c r="E46" s="10">
        <v>1101020037</v>
      </c>
      <c r="F46" s="8">
        <v>310</v>
      </c>
      <c r="G46" t="str">
        <f>VLOOKUP(DATA!B46,PROVID!$A$1:$B$2,2,FALSE)</f>
        <v>ACEH</v>
      </c>
      <c r="H46" t="str">
        <f>VLOOKUP(C46,KABID!$A$1:$B$2,2,FALSE)</f>
        <v>SIMEULUE</v>
      </c>
      <c r="I46" t="str">
        <f>VLOOKUP(D46,CAMID!$A$1:$B$7,2,FALSE)</f>
        <v>SIMEULUE TIMUR</v>
      </c>
      <c r="J46" t="str">
        <f>VLOOKUP(E46,DESAID!$A$1:$B$113,2,FALSE)</f>
        <v>PULAU SIUMAT</v>
      </c>
    </row>
    <row r="47" spans="1:10" x14ac:dyDescent="0.25">
      <c r="A47">
        <v>46</v>
      </c>
      <c r="B47" s="10">
        <v>11</v>
      </c>
      <c r="C47" s="10">
        <v>1101</v>
      </c>
      <c r="D47" s="10">
        <v>1101020</v>
      </c>
      <c r="E47" s="10">
        <v>1101020038</v>
      </c>
      <c r="F47" s="8">
        <v>454</v>
      </c>
      <c r="G47" t="str">
        <f>VLOOKUP(DATA!B47,PROVID!$A$1:$B$2,2,FALSE)</f>
        <v>ACEH</v>
      </c>
      <c r="H47" t="str">
        <f>VLOOKUP(C47,KABID!$A$1:$B$2,2,FALSE)</f>
        <v>SIMEULUE</v>
      </c>
      <c r="I47" t="str">
        <f>VLOOKUP(D47,CAMID!$A$1:$B$7,2,FALSE)</f>
        <v>SIMEULUE TIMUR</v>
      </c>
      <c r="J47" t="str">
        <f>VLOOKUP(E47,DESAID!$A$1:$B$113,2,FALSE)</f>
        <v>SEFOYAN</v>
      </c>
    </row>
    <row r="48" spans="1:10" x14ac:dyDescent="0.25">
      <c r="A48">
        <v>47</v>
      </c>
      <c r="B48" s="10">
        <v>11</v>
      </c>
      <c r="C48" s="10">
        <v>1101</v>
      </c>
      <c r="D48" s="10">
        <v>1101020</v>
      </c>
      <c r="E48" s="10">
        <v>1101020039</v>
      </c>
      <c r="F48" s="8">
        <v>518</v>
      </c>
      <c r="G48" t="str">
        <f>VLOOKUP(DATA!B48,PROVID!$A$1:$B$2,2,FALSE)</f>
        <v>ACEH</v>
      </c>
      <c r="H48" t="str">
        <f>VLOOKUP(C48,KABID!$A$1:$B$2,2,FALSE)</f>
        <v>SIMEULUE</v>
      </c>
      <c r="I48" t="str">
        <f>VLOOKUP(D48,CAMID!$A$1:$B$7,2,FALSE)</f>
        <v>SIMEULUE TIMUR</v>
      </c>
      <c r="J48" t="str">
        <f>VLOOKUP(E48,DESAID!$A$1:$B$113,2,FALSE)</f>
        <v>AMAITENG MULIA</v>
      </c>
    </row>
    <row r="49" spans="1:10" x14ac:dyDescent="0.25">
      <c r="A49">
        <v>48</v>
      </c>
      <c r="B49" s="10">
        <v>11</v>
      </c>
      <c r="C49" s="10">
        <v>1101</v>
      </c>
      <c r="D49" s="10">
        <v>1101020</v>
      </c>
      <c r="E49" s="10">
        <v>1101020040</v>
      </c>
      <c r="F49" s="8">
        <v>595</v>
      </c>
      <c r="G49" t="str">
        <f>VLOOKUP(DATA!B49,PROVID!$A$1:$B$2,2,FALSE)</f>
        <v>ACEH</v>
      </c>
      <c r="H49" t="str">
        <f>VLOOKUP(C49,KABID!$A$1:$B$2,2,FALSE)</f>
        <v>SIMEULUE</v>
      </c>
      <c r="I49" t="str">
        <f>VLOOKUP(D49,CAMID!$A$1:$B$7,2,FALSE)</f>
        <v>SIMEULUE TIMUR</v>
      </c>
      <c r="J49" t="str">
        <f>VLOOKUP(E49,DESAID!$A$1:$B$113,2,FALSE)</f>
        <v>AMERIA BAHAGIA</v>
      </c>
    </row>
    <row r="50" spans="1:10" x14ac:dyDescent="0.25">
      <c r="A50">
        <v>49</v>
      </c>
      <c r="B50" s="10">
        <v>11</v>
      </c>
      <c r="C50" s="10">
        <v>1101</v>
      </c>
      <c r="D50" s="10">
        <v>1101021</v>
      </c>
      <c r="E50" s="10">
        <v>1101021001</v>
      </c>
      <c r="F50" s="8">
        <v>273</v>
      </c>
      <c r="G50" t="str">
        <f>VLOOKUP(DATA!B50,PROVID!$A$1:$B$2,2,FALSE)</f>
        <v>ACEH</v>
      </c>
      <c r="H50" t="str">
        <f>VLOOKUP(C50,KABID!$A$1:$B$2,2,FALSE)</f>
        <v>SIMEULUE</v>
      </c>
      <c r="I50" t="str">
        <f>VLOOKUP(D50,CAMID!$A$1:$B$7,2,FALSE)</f>
        <v>TEUPAH BARAT</v>
      </c>
      <c r="J50" t="str">
        <f>VLOOKUP(E50,DESAID!$A$1:$B$113,2,FALSE)</f>
        <v>SITAL</v>
      </c>
    </row>
    <row r="51" spans="1:10" x14ac:dyDescent="0.25">
      <c r="A51">
        <v>50</v>
      </c>
      <c r="B51" s="10">
        <v>11</v>
      </c>
      <c r="C51" s="10">
        <v>1101</v>
      </c>
      <c r="D51" s="10">
        <v>1101021</v>
      </c>
      <c r="E51" s="10">
        <v>1101021002</v>
      </c>
      <c r="F51" s="8">
        <v>831</v>
      </c>
      <c r="G51" t="str">
        <f>VLOOKUP(DATA!B51,PROVID!$A$1:$B$2,2,FALSE)</f>
        <v>ACEH</v>
      </c>
      <c r="H51" t="str">
        <f>VLOOKUP(C51,KABID!$A$1:$B$2,2,FALSE)</f>
        <v>SIMEULUE</v>
      </c>
      <c r="I51" t="str">
        <f>VLOOKUP(D51,CAMID!$A$1:$B$7,2,FALSE)</f>
        <v>TEUPAH BARAT</v>
      </c>
      <c r="J51" t="str">
        <f>VLOOKUP(E51,DESAID!$A$1:$B$113,2,FALSE)</f>
        <v>LEUBANG</v>
      </c>
    </row>
    <row r="52" spans="1:10" x14ac:dyDescent="0.25">
      <c r="A52">
        <v>51</v>
      </c>
      <c r="B52" s="10">
        <v>11</v>
      </c>
      <c r="C52" s="10">
        <v>1101</v>
      </c>
      <c r="D52" s="10">
        <v>1101021</v>
      </c>
      <c r="E52" s="10">
        <v>1101021003</v>
      </c>
      <c r="F52" s="8">
        <v>383</v>
      </c>
      <c r="G52" t="str">
        <f>VLOOKUP(DATA!B52,PROVID!$A$1:$B$2,2,FALSE)</f>
        <v>ACEH</v>
      </c>
      <c r="H52" t="str">
        <f>VLOOKUP(C52,KABID!$A$1:$B$2,2,FALSE)</f>
        <v>SIMEULUE</v>
      </c>
      <c r="I52" t="str">
        <f>VLOOKUP(D52,CAMID!$A$1:$B$7,2,FALSE)</f>
        <v>TEUPAH BARAT</v>
      </c>
      <c r="J52" t="str">
        <f>VLOOKUP(E52,DESAID!$A$1:$B$113,2,FALSE)</f>
        <v>LEUBANG HULU</v>
      </c>
    </row>
    <row r="53" spans="1:10" x14ac:dyDescent="0.25">
      <c r="A53">
        <v>52</v>
      </c>
      <c r="B53" s="10">
        <v>11</v>
      </c>
      <c r="C53" s="10">
        <v>1101</v>
      </c>
      <c r="D53" s="10">
        <v>1101021</v>
      </c>
      <c r="E53" s="10">
        <v>1101021004</v>
      </c>
      <c r="F53" s="8">
        <v>521</v>
      </c>
      <c r="G53" t="str">
        <f>VLOOKUP(DATA!B53,PROVID!$A$1:$B$2,2,FALSE)</f>
        <v>ACEH</v>
      </c>
      <c r="H53" t="str">
        <f>VLOOKUP(C53,KABID!$A$1:$B$2,2,FALSE)</f>
        <v>SIMEULUE</v>
      </c>
      <c r="I53" t="str">
        <f>VLOOKUP(D53,CAMID!$A$1:$B$7,2,FALSE)</f>
        <v>TEUPAH BARAT</v>
      </c>
      <c r="J53" t="str">
        <f>VLOOKUP(E53,DESAID!$A$1:$B$113,2,FALSE)</f>
        <v>AWE SEUBAL</v>
      </c>
    </row>
    <row r="54" spans="1:10" x14ac:dyDescent="0.25">
      <c r="A54">
        <v>53</v>
      </c>
      <c r="B54" s="10">
        <v>11</v>
      </c>
      <c r="C54" s="10">
        <v>1101</v>
      </c>
      <c r="D54" s="10">
        <v>1101021</v>
      </c>
      <c r="E54" s="10">
        <v>1101021005</v>
      </c>
      <c r="F54" s="8">
        <v>456</v>
      </c>
      <c r="G54" t="str">
        <f>VLOOKUP(DATA!B54,PROVID!$A$1:$B$2,2,FALSE)</f>
        <v>ACEH</v>
      </c>
      <c r="H54" t="str">
        <f>VLOOKUP(C54,KABID!$A$1:$B$2,2,FALSE)</f>
        <v>SIMEULUE</v>
      </c>
      <c r="I54" t="str">
        <f>VLOOKUP(D54,CAMID!$A$1:$B$7,2,FALSE)</f>
        <v>TEUPAH BARAT</v>
      </c>
      <c r="J54" t="str">
        <f>VLOOKUP(E54,DESAID!$A$1:$B$113,2,FALSE)</f>
        <v>LANTIK</v>
      </c>
    </row>
    <row r="55" spans="1:10" x14ac:dyDescent="0.25">
      <c r="A55">
        <v>54</v>
      </c>
      <c r="B55" s="10">
        <v>11</v>
      </c>
      <c r="C55" s="10">
        <v>1101</v>
      </c>
      <c r="D55" s="10">
        <v>1101021</v>
      </c>
      <c r="E55" s="10">
        <v>1101021006</v>
      </c>
      <c r="F55" s="8">
        <v>318</v>
      </c>
      <c r="G55" t="str">
        <f>VLOOKUP(DATA!B55,PROVID!$A$1:$B$2,2,FALSE)</f>
        <v>ACEH</v>
      </c>
      <c r="H55" t="str">
        <f>VLOOKUP(C55,KABID!$A$1:$B$2,2,FALSE)</f>
        <v>SIMEULUE</v>
      </c>
      <c r="I55" t="str">
        <f>VLOOKUP(D55,CAMID!$A$1:$B$7,2,FALSE)</f>
        <v>TEUPAH BARAT</v>
      </c>
      <c r="J55" t="str">
        <f>VLOOKUP(E55,DESAID!$A$1:$B$113,2,FALSE)</f>
        <v>AWE KECIL</v>
      </c>
    </row>
    <row r="56" spans="1:10" x14ac:dyDescent="0.25">
      <c r="A56">
        <v>55</v>
      </c>
      <c r="B56" s="10">
        <v>11</v>
      </c>
      <c r="C56" s="10">
        <v>1101</v>
      </c>
      <c r="D56" s="10">
        <v>1101021</v>
      </c>
      <c r="E56" s="10">
        <v>1101021007</v>
      </c>
      <c r="F56" s="8">
        <v>689</v>
      </c>
      <c r="G56" t="str">
        <f>VLOOKUP(DATA!B56,PROVID!$A$1:$B$2,2,FALSE)</f>
        <v>ACEH</v>
      </c>
      <c r="H56" t="str">
        <f>VLOOKUP(C56,KABID!$A$1:$B$2,2,FALSE)</f>
        <v>SIMEULUE</v>
      </c>
      <c r="I56" t="str">
        <f>VLOOKUP(D56,CAMID!$A$1:$B$7,2,FALSE)</f>
        <v>TEUPAH BARAT</v>
      </c>
      <c r="J56" t="str">
        <f>VLOOKUP(E56,DESAID!$A$1:$B$113,2,FALSE)</f>
        <v>SALUR</v>
      </c>
    </row>
    <row r="57" spans="1:10" x14ac:dyDescent="0.25">
      <c r="A57">
        <v>56</v>
      </c>
      <c r="B57" s="10">
        <v>11</v>
      </c>
      <c r="C57" s="10">
        <v>1101</v>
      </c>
      <c r="D57" s="10">
        <v>1101021</v>
      </c>
      <c r="E57" s="10">
        <v>1101021008</v>
      </c>
      <c r="F57" s="8">
        <v>231</v>
      </c>
      <c r="G57" t="str">
        <f>VLOOKUP(DATA!B57,PROVID!$A$1:$B$2,2,FALSE)</f>
        <v>ACEH</v>
      </c>
      <c r="H57" t="str">
        <f>VLOOKUP(C57,KABID!$A$1:$B$2,2,FALSE)</f>
        <v>SIMEULUE</v>
      </c>
      <c r="I57" t="str">
        <f>VLOOKUP(D57,CAMID!$A$1:$B$7,2,FALSE)</f>
        <v>TEUPAH BARAT</v>
      </c>
      <c r="J57" t="str">
        <f>VLOOKUP(E57,DESAID!$A$1:$B$113,2,FALSE)</f>
        <v>SALUR LATUN</v>
      </c>
    </row>
    <row r="58" spans="1:10" x14ac:dyDescent="0.25">
      <c r="A58">
        <v>57</v>
      </c>
      <c r="B58" s="10">
        <v>11</v>
      </c>
      <c r="C58" s="10">
        <v>1101</v>
      </c>
      <c r="D58" s="10">
        <v>1101021</v>
      </c>
      <c r="E58" s="10">
        <v>1101021009</v>
      </c>
      <c r="F58" s="8">
        <v>519</v>
      </c>
      <c r="G58" t="str">
        <f>VLOOKUP(DATA!B58,PROVID!$A$1:$B$2,2,FALSE)</f>
        <v>ACEH</v>
      </c>
      <c r="H58" t="str">
        <f>VLOOKUP(C58,KABID!$A$1:$B$2,2,FALSE)</f>
        <v>SIMEULUE</v>
      </c>
      <c r="I58" t="str">
        <f>VLOOKUP(D58,CAMID!$A$1:$B$7,2,FALSE)</f>
        <v>TEUPAH BARAT</v>
      </c>
      <c r="J58" t="str">
        <f>VLOOKUP(E58,DESAID!$A$1:$B$113,2,FALSE)</f>
        <v>SALUR LASENGALU</v>
      </c>
    </row>
    <row r="59" spans="1:10" x14ac:dyDescent="0.25">
      <c r="A59">
        <v>58</v>
      </c>
      <c r="B59" s="10">
        <v>11</v>
      </c>
      <c r="C59" s="10">
        <v>1101</v>
      </c>
      <c r="D59" s="10">
        <v>1101021</v>
      </c>
      <c r="E59" s="10">
        <v>1101021010</v>
      </c>
      <c r="F59" s="8">
        <v>169</v>
      </c>
      <c r="G59" t="str">
        <f>VLOOKUP(DATA!B59,PROVID!$A$1:$B$2,2,FALSE)</f>
        <v>ACEH</v>
      </c>
      <c r="H59" t="str">
        <f>VLOOKUP(C59,KABID!$A$1:$B$2,2,FALSE)</f>
        <v>SIMEULUE</v>
      </c>
      <c r="I59" t="str">
        <f>VLOOKUP(D59,CAMID!$A$1:$B$7,2,FALSE)</f>
        <v>TEUPAH BARAT</v>
      </c>
      <c r="J59" t="str">
        <f>VLOOKUP(E59,DESAID!$A$1:$B$113,2,FALSE)</f>
        <v>NANCALA</v>
      </c>
    </row>
    <row r="60" spans="1:10" x14ac:dyDescent="0.25">
      <c r="A60">
        <v>59</v>
      </c>
      <c r="B60" s="10">
        <v>11</v>
      </c>
      <c r="C60" s="10">
        <v>1101</v>
      </c>
      <c r="D60" s="10">
        <v>1101021</v>
      </c>
      <c r="E60" s="10">
        <v>1101021011</v>
      </c>
      <c r="F60" s="8">
        <v>526</v>
      </c>
      <c r="G60" t="str">
        <f>VLOOKUP(DATA!B60,PROVID!$A$1:$B$2,2,FALSE)</f>
        <v>ACEH</v>
      </c>
      <c r="H60" t="str">
        <f>VLOOKUP(C60,KABID!$A$1:$B$2,2,FALSE)</f>
        <v>SIMEULUE</v>
      </c>
      <c r="I60" t="str">
        <f>VLOOKUP(D60,CAMID!$A$1:$B$7,2,FALSE)</f>
        <v>TEUPAH BARAT</v>
      </c>
      <c r="J60" t="str">
        <f>VLOOKUP(E60,DESAID!$A$1:$B$113,2,FALSE)</f>
        <v>MAUDIL</v>
      </c>
    </row>
    <row r="61" spans="1:10" x14ac:dyDescent="0.25">
      <c r="A61">
        <v>60</v>
      </c>
      <c r="B61" s="10">
        <v>11</v>
      </c>
      <c r="C61" s="10">
        <v>1101</v>
      </c>
      <c r="D61" s="10">
        <v>1101021</v>
      </c>
      <c r="E61" s="10">
        <v>1101021012</v>
      </c>
      <c r="F61" s="8">
        <v>497</v>
      </c>
      <c r="G61" t="str">
        <f>VLOOKUP(DATA!B61,PROVID!$A$1:$B$2,2,FALSE)</f>
        <v>ACEH</v>
      </c>
      <c r="H61" t="str">
        <f>VLOOKUP(C61,KABID!$A$1:$B$2,2,FALSE)</f>
        <v>SIMEULUE</v>
      </c>
      <c r="I61" t="str">
        <f>VLOOKUP(D61,CAMID!$A$1:$B$7,2,FALSE)</f>
        <v>TEUPAH BARAT</v>
      </c>
      <c r="J61" t="str">
        <f>VLOOKUP(E61,DESAID!$A$1:$B$113,2,FALSE)</f>
        <v>INOR</v>
      </c>
    </row>
    <row r="62" spans="1:10" x14ac:dyDescent="0.25">
      <c r="A62">
        <v>61</v>
      </c>
      <c r="B62" s="10">
        <v>11</v>
      </c>
      <c r="C62" s="10">
        <v>1101</v>
      </c>
      <c r="D62" s="10">
        <v>1101021</v>
      </c>
      <c r="E62" s="10">
        <v>1101021013</v>
      </c>
      <c r="F62" s="8">
        <v>272</v>
      </c>
      <c r="G62" t="str">
        <f>VLOOKUP(DATA!B62,PROVID!$A$1:$B$2,2,FALSE)</f>
        <v>ACEH</v>
      </c>
      <c r="H62" t="str">
        <f>VLOOKUP(C62,KABID!$A$1:$B$2,2,FALSE)</f>
        <v>SIMEULUE</v>
      </c>
      <c r="I62" t="str">
        <f>VLOOKUP(D62,CAMID!$A$1:$B$7,2,FALSE)</f>
        <v>TEUPAH BARAT</v>
      </c>
      <c r="J62" t="str">
        <f>VLOOKUP(E62,DESAID!$A$1:$B$113,2,FALSE)</f>
        <v>NAIBOS</v>
      </c>
    </row>
    <row r="63" spans="1:10" x14ac:dyDescent="0.25">
      <c r="A63">
        <v>62</v>
      </c>
      <c r="B63" s="10">
        <v>11</v>
      </c>
      <c r="C63" s="10">
        <v>1101</v>
      </c>
      <c r="D63" s="10">
        <v>1101021</v>
      </c>
      <c r="E63" s="10">
        <v>1101021014</v>
      </c>
      <c r="F63" s="8">
        <v>225</v>
      </c>
      <c r="G63" t="str">
        <f>VLOOKUP(DATA!B63,PROVID!$A$1:$B$2,2,FALSE)</f>
        <v>ACEH</v>
      </c>
      <c r="H63" t="str">
        <f>VLOOKUP(C63,KABID!$A$1:$B$2,2,FALSE)</f>
        <v>SIMEULUE</v>
      </c>
      <c r="I63" t="str">
        <f>VLOOKUP(D63,CAMID!$A$1:$B$7,2,FALSE)</f>
        <v>TEUPAH BARAT</v>
      </c>
      <c r="J63" t="str">
        <f>VLOOKUP(E63,DESAID!$A$1:$B$113,2,FALSE)</f>
        <v>LAAYON</v>
      </c>
    </row>
    <row r="64" spans="1:10" x14ac:dyDescent="0.25">
      <c r="A64">
        <v>63</v>
      </c>
      <c r="B64" s="10">
        <v>11</v>
      </c>
      <c r="C64" s="10">
        <v>1101</v>
      </c>
      <c r="D64" s="10">
        <v>1101021</v>
      </c>
      <c r="E64" s="10">
        <v>1101021015</v>
      </c>
      <c r="F64" s="8">
        <v>423</v>
      </c>
      <c r="G64" t="str">
        <f>VLOOKUP(DATA!B64,PROVID!$A$1:$B$2,2,FALSE)</f>
        <v>ACEH</v>
      </c>
      <c r="H64" t="str">
        <f>VLOOKUP(C64,KABID!$A$1:$B$2,2,FALSE)</f>
        <v>SIMEULUE</v>
      </c>
      <c r="I64" t="str">
        <f>VLOOKUP(D64,CAMID!$A$1:$B$7,2,FALSE)</f>
        <v>TEUPAH BARAT</v>
      </c>
      <c r="J64" t="str">
        <f>VLOOKUP(E64,DESAID!$A$1:$B$113,2,FALSE)</f>
        <v>ANGKEO</v>
      </c>
    </row>
    <row r="65" spans="1:10" x14ac:dyDescent="0.25">
      <c r="A65">
        <v>64</v>
      </c>
      <c r="B65" s="10">
        <v>11</v>
      </c>
      <c r="C65" s="10">
        <v>1101</v>
      </c>
      <c r="D65" s="10">
        <v>1101021</v>
      </c>
      <c r="E65" s="10">
        <v>1101021016</v>
      </c>
      <c r="F65" s="8">
        <v>287</v>
      </c>
      <c r="G65" t="str">
        <f>VLOOKUP(DATA!B65,PROVID!$A$1:$B$2,2,FALSE)</f>
        <v>ACEH</v>
      </c>
      <c r="H65" t="str">
        <f>VLOOKUP(C65,KABID!$A$1:$B$2,2,FALSE)</f>
        <v>SIMEULUE</v>
      </c>
      <c r="I65" t="str">
        <f>VLOOKUP(D65,CAMID!$A$1:$B$7,2,FALSE)</f>
        <v>TEUPAH BARAT</v>
      </c>
      <c r="J65" t="str">
        <f>VLOOKUP(E65,DESAID!$A$1:$B$113,2,FALSE)</f>
        <v>BUNON</v>
      </c>
    </row>
    <row r="66" spans="1:10" x14ac:dyDescent="0.25">
      <c r="A66">
        <v>65</v>
      </c>
      <c r="B66" s="10">
        <v>11</v>
      </c>
      <c r="C66" s="10">
        <v>1101</v>
      </c>
      <c r="D66" s="10">
        <v>1101021</v>
      </c>
      <c r="E66" s="10">
        <v>1101021017</v>
      </c>
      <c r="F66" s="8">
        <v>395</v>
      </c>
      <c r="G66" t="str">
        <f>VLOOKUP(DATA!B66,PROVID!$A$1:$B$2,2,FALSE)</f>
        <v>ACEH</v>
      </c>
      <c r="H66" t="str">
        <f>VLOOKUP(C66,KABID!$A$1:$B$2,2,FALSE)</f>
        <v>SIMEULUE</v>
      </c>
      <c r="I66" t="str">
        <f>VLOOKUP(D66,CAMID!$A$1:$B$7,2,FALSE)</f>
        <v>TEUPAH BARAT</v>
      </c>
      <c r="J66" t="str">
        <f>VLOOKUP(E66,DESAID!$A$1:$B$113,2,FALSE)</f>
        <v>SILENGAS</v>
      </c>
    </row>
    <row r="67" spans="1:10" x14ac:dyDescent="0.25">
      <c r="A67">
        <v>66</v>
      </c>
      <c r="B67" s="10">
        <v>11</v>
      </c>
      <c r="C67" s="10">
        <v>1101</v>
      </c>
      <c r="D67" s="10">
        <v>1101021</v>
      </c>
      <c r="E67" s="10">
        <v>1101021018</v>
      </c>
      <c r="F67" s="8">
        <v>254</v>
      </c>
      <c r="G67" t="str">
        <f>VLOOKUP(DATA!B67,PROVID!$A$1:$B$2,2,FALSE)</f>
        <v>ACEH</v>
      </c>
      <c r="H67" t="str">
        <f>VLOOKUP(C67,KABID!$A$1:$B$2,2,FALSE)</f>
        <v>SIMEULUE</v>
      </c>
      <c r="I67" t="str">
        <f>VLOOKUP(D67,CAMID!$A$1:$B$7,2,FALSE)</f>
        <v>TEUPAH BARAT</v>
      </c>
      <c r="J67" t="str">
        <f>VLOOKUP(E67,DESAID!$A$1:$B$113,2,FALSE)</f>
        <v>PULAU TEUPAH</v>
      </c>
    </row>
    <row r="68" spans="1:10" x14ac:dyDescent="0.25">
      <c r="A68">
        <v>67</v>
      </c>
      <c r="B68" s="10">
        <v>11</v>
      </c>
      <c r="C68" s="10">
        <v>1101</v>
      </c>
      <c r="D68" s="10">
        <v>1101030</v>
      </c>
      <c r="E68" s="10">
        <v>1101030001</v>
      </c>
      <c r="F68" s="8">
        <v>332</v>
      </c>
      <c r="G68" t="str">
        <f>VLOOKUP(DATA!B68,PROVID!$A$1:$B$2,2,FALSE)</f>
        <v>ACEH</v>
      </c>
      <c r="H68" t="str">
        <f>VLOOKUP(C68,KABID!$A$1:$B$2,2,FALSE)</f>
        <v>SIMEULUE</v>
      </c>
      <c r="I68" t="str">
        <f>VLOOKUP(D68,CAMID!$A$1:$B$7,2,FALSE)</f>
        <v>SIMEULUE TENGAH</v>
      </c>
      <c r="J68" t="str">
        <f>VLOOKUP(E68,DESAID!$A$1:$B$113,2,FALSE)</f>
        <v>DIHIT</v>
      </c>
    </row>
    <row r="69" spans="1:10" x14ac:dyDescent="0.25">
      <c r="A69">
        <v>68</v>
      </c>
      <c r="B69" s="10">
        <v>11</v>
      </c>
      <c r="C69" s="10">
        <v>1101</v>
      </c>
      <c r="D69" s="10">
        <v>1101030</v>
      </c>
      <c r="E69" s="10">
        <v>1101030002</v>
      </c>
      <c r="F69" s="8">
        <v>635</v>
      </c>
      <c r="G69" t="str">
        <f>VLOOKUP(DATA!B69,PROVID!$A$1:$B$2,2,FALSE)</f>
        <v>ACEH</v>
      </c>
      <c r="H69" t="str">
        <f>VLOOKUP(C69,KABID!$A$1:$B$2,2,FALSE)</f>
        <v>SIMEULUE</v>
      </c>
      <c r="I69" t="str">
        <f>VLOOKUP(D69,CAMID!$A$1:$B$7,2,FALSE)</f>
        <v>SIMEULUE TENGAH</v>
      </c>
      <c r="J69" t="str">
        <f>VLOOKUP(E69,DESAID!$A$1:$B$113,2,FALSE)</f>
        <v>LAUKE</v>
      </c>
    </row>
    <row r="70" spans="1:10" x14ac:dyDescent="0.25">
      <c r="A70">
        <v>69</v>
      </c>
      <c r="B70" s="10">
        <v>11</v>
      </c>
      <c r="C70" s="10">
        <v>1101</v>
      </c>
      <c r="D70" s="10">
        <v>1101030</v>
      </c>
      <c r="E70" s="10">
        <v>1101030003</v>
      </c>
      <c r="F70" s="8">
        <v>517</v>
      </c>
      <c r="G70" t="str">
        <f>VLOOKUP(DATA!B70,PROVID!$A$1:$B$2,2,FALSE)</f>
        <v>ACEH</v>
      </c>
      <c r="H70" t="str">
        <f>VLOOKUP(C70,KABID!$A$1:$B$2,2,FALSE)</f>
        <v>SIMEULUE</v>
      </c>
      <c r="I70" t="str">
        <f>VLOOKUP(D70,CAMID!$A$1:$B$7,2,FALSE)</f>
        <v>SIMEULUE TENGAH</v>
      </c>
      <c r="J70" t="str">
        <f>VLOOKUP(E70,DESAID!$A$1:$B$113,2,FALSE)</f>
        <v>LAMBAYA</v>
      </c>
    </row>
    <row r="71" spans="1:10" x14ac:dyDescent="0.25">
      <c r="A71">
        <v>70</v>
      </c>
      <c r="B71" s="10">
        <v>11</v>
      </c>
      <c r="C71" s="10">
        <v>1101</v>
      </c>
      <c r="D71" s="10">
        <v>1101030</v>
      </c>
      <c r="E71" s="10">
        <v>1101030004</v>
      </c>
      <c r="F71" s="8">
        <v>335</v>
      </c>
      <c r="G71" t="str">
        <f>VLOOKUP(DATA!B71,PROVID!$A$1:$B$2,2,FALSE)</f>
        <v>ACEH</v>
      </c>
      <c r="H71" t="str">
        <f>VLOOKUP(C71,KABID!$A$1:$B$2,2,FALSE)</f>
        <v>SIMEULUE</v>
      </c>
      <c r="I71" t="str">
        <f>VLOOKUP(D71,CAMID!$A$1:$B$7,2,FALSE)</f>
        <v>SIMEULUE TENGAH</v>
      </c>
      <c r="J71" t="str">
        <f>VLOOKUP(E71,DESAID!$A$1:$B$113,2,FALSE)</f>
        <v>LAKUBANG</v>
      </c>
    </row>
    <row r="72" spans="1:10" x14ac:dyDescent="0.25">
      <c r="A72">
        <v>71</v>
      </c>
      <c r="B72" s="10">
        <v>11</v>
      </c>
      <c r="C72" s="10">
        <v>1101</v>
      </c>
      <c r="D72" s="10">
        <v>1101030</v>
      </c>
      <c r="E72" s="10">
        <v>1101030005</v>
      </c>
      <c r="F72" s="8">
        <v>1639</v>
      </c>
      <c r="G72" t="str">
        <f>VLOOKUP(DATA!B72,PROVID!$A$1:$B$2,2,FALSE)</f>
        <v>ACEH</v>
      </c>
      <c r="H72" t="str">
        <f>VLOOKUP(C72,KABID!$A$1:$B$2,2,FALSE)</f>
        <v>SIMEULUE</v>
      </c>
      <c r="I72" t="str">
        <f>VLOOKUP(D72,CAMID!$A$1:$B$7,2,FALSE)</f>
        <v>SIMEULUE TENGAH</v>
      </c>
      <c r="J72" t="str">
        <f>VLOOKUP(E72,DESAID!$A$1:$B$113,2,FALSE)</f>
        <v>KAMPUNG AIE</v>
      </c>
    </row>
    <row r="73" spans="1:10" x14ac:dyDescent="0.25">
      <c r="A73">
        <v>72</v>
      </c>
      <c r="B73" s="10">
        <v>11</v>
      </c>
      <c r="C73" s="10">
        <v>1101</v>
      </c>
      <c r="D73" s="10">
        <v>1101030</v>
      </c>
      <c r="E73" s="10">
        <v>1101030006</v>
      </c>
      <c r="F73" s="8">
        <v>138</v>
      </c>
      <c r="G73" t="str">
        <f>VLOOKUP(DATA!B73,PROVID!$A$1:$B$2,2,FALSE)</f>
        <v>ACEH</v>
      </c>
      <c r="H73" t="str">
        <f>VLOOKUP(C73,KABID!$A$1:$B$2,2,FALSE)</f>
        <v>SIMEULUE</v>
      </c>
      <c r="I73" t="str">
        <f>VLOOKUP(D73,CAMID!$A$1:$B$7,2,FALSE)</f>
        <v>SIMEULUE TENGAH</v>
      </c>
      <c r="J73" t="str">
        <f>VLOOKUP(E73,DESAID!$A$1:$B$113,2,FALSE)</f>
        <v>LAUREE</v>
      </c>
    </row>
    <row r="74" spans="1:10" x14ac:dyDescent="0.25">
      <c r="A74">
        <v>73</v>
      </c>
      <c r="B74" s="10">
        <v>11</v>
      </c>
      <c r="C74" s="10">
        <v>1101</v>
      </c>
      <c r="D74" s="10">
        <v>1101030</v>
      </c>
      <c r="E74" s="10">
        <v>1101030007</v>
      </c>
      <c r="F74" s="8">
        <v>146</v>
      </c>
      <c r="G74" t="str">
        <f>VLOOKUP(DATA!B74,PROVID!$A$1:$B$2,2,FALSE)</f>
        <v>ACEH</v>
      </c>
      <c r="H74" t="str">
        <f>VLOOKUP(C74,KABID!$A$1:$B$2,2,FALSE)</f>
        <v>SIMEULUE</v>
      </c>
      <c r="I74" t="str">
        <f>VLOOKUP(D74,CAMID!$A$1:$B$7,2,FALSE)</f>
        <v>SIMEULUE TENGAH</v>
      </c>
      <c r="J74" t="str">
        <f>VLOOKUP(E74,DESAID!$A$1:$B$113,2,FALSE)</f>
        <v>LATITIK</v>
      </c>
    </row>
    <row r="75" spans="1:10" x14ac:dyDescent="0.25">
      <c r="A75">
        <v>74</v>
      </c>
      <c r="B75" s="10">
        <v>11</v>
      </c>
      <c r="C75" s="10">
        <v>1101</v>
      </c>
      <c r="D75" s="10">
        <v>1101030</v>
      </c>
      <c r="E75" s="10">
        <v>1101030008</v>
      </c>
      <c r="F75" s="8">
        <v>145</v>
      </c>
      <c r="G75" t="str">
        <f>VLOOKUP(DATA!B75,PROVID!$A$1:$B$2,2,FALSE)</f>
        <v>ACEH</v>
      </c>
      <c r="H75" t="str">
        <f>VLOOKUP(C75,KABID!$A$1:$B$2,2,FALSE)</f>
        <v>SIMEULUE</v>
      </c>
      <c r="I75" t="str">
        <f>VLOOKUP(D75,CAMID!$A$1:$B$7,2,FALSE)</f>
        <v>SIMEULUE TENGAH</v>
      </c>
      <c r="J75" t="str">
        <f>VLOOKUP(E75,DESAID!$A$1:$B$113,2,FALSE)</f>
        <v>LAMAYANG</v>
      </c>
    </row>
    <row r="76" spans="1:10" x14ac:dyDescent="0.25">
      <c r="A76">
        <v>75</v>
      </c>
      <c r="B76" s="10">
        <v>11</v>
      </c>
      <c r="C76" s="10">
        <v>1101</v>
      </c>
      <c r="D76" s="10">
        <v>1101030</v>
      </c>
      <c r="E76" s="10">
        <v>1101030009</v>
      </c>
      <c r="F76" s="8">
        <v>297</v>
      </c>
      <c r="G76" t="str">
        <f>VLOOKUP(DATA!B76,PROVID!$A$1:$B$2,2,FALSE)</f>
        <v>ACEH</v>
      </c>
      <c r="H76" t="str">
        <f>VLOOKUP(C76,KABID!$A$1:$B$2,2,FALSE)</f>
        <v>SIMEULUE</v>
      </c>
      <c r="I76" t="str">
        <f>VLOOKUP(D76,CAMID!$A$1:$B$7,2,FALSE)</f>
        <v>SIMEULUE TENGAH</v>
      </c>
      <c r="J76" t="str">
        <f>VLOOKUP(E76,DESAID!$A$1:$B$113,2,FALSE)</f>
        <v>WEL WEL</v>
      </c>
    </row>
    <row r="77" spans="1:10" x14ac:dyDescent="0.25">
      <c r="A77">
        <v>76</v>
      </c>
      <c r="B77" s="10">
        <v>11</v>
      </c>
      <c r="C77" s="10">
        <v>1101</v>
      </c>
      <c r="D77" s="10">
        <v>1101030</v>
      </c>
      <c r="E77" s="10">
        <v>1101030010</v>
      </c>
      <c r="F77" s="8">
        <v>300</v>
      </c>
      <c r="G77" t="str">
        <f>VLOOKUP(DATA!B77,PROVID!$A$1:$B$2,2,FALSE)</f>
        <v>ACEH</v>
      </c>
      <c r="H77" t="str">
        <f>VLOOKUP(C77,KABID!$A$1:$B$2,2,FALSE)</f>
        <v>SIMEULUE</v>
      </c>
      <c r="I77" t="str">
        <f>VLOOKUP(D77,CAMID!$A$1:$B$7,2,FALSE)</f>
        <v>SIMEULUE TENGAH</v>
      </c>
      <c r="J77" t="str">
        <f>VLOOKUP(E77,DESAID!$A$1:$B$113,2,FALSE)</f>
        <v>BUBUHAN</v>
      </c>
    </row>
    <row r="78" spans="1:10" x14ac:dyDescent="0.25">
      <c r="A78">
        <v>77</v>
      </c>
      <c r="B78" s="10">
        <v>11</v>
      </c>
      <c r="C78" s="10">
        <v>1101</v>
      </c>
      <c r="D78" s="10">
        <v>1101030</v>
      </c>
      <c r="E78" s="10">
        <v>1101030011</v>
      </c>
      <c r="F78" s="8">
        <v>487</v>
      </c>
      <c r="G78" t="str">
        <f>VLOOKUP(DATA!B78,PROVID!$A$1:$B$2,2,FALSE)</f>
        <v>ACEH</v>
      </c>
      <c r="H78" t="str">
        <f>VLOOKUP(C78,KABID!$A$1:$B$2,2,FALSE)</f>
        <v>SIMEULUE</v>
      </c>
      <c r="I78" t="str">
        <f>VLOOKUP(D78,CAMID!$A$1:$B$7,2,FALSE)</f>
        <v>SIMEULUE TENGAH</v>
      </c>
      <c r="J78" t="str">
        <f>VLOOKUP(E78,DESAID!$A$1:$B$113,2,FALSE)</f>
        <v>AMARABU</v>
      </c>
    </row>
    <row r="79" spans="1:10" x14ac:dyDescent="0.25">
      <c r="A79">
        <v>78</v>
      </c>
      <c r="B79" s="10">
        <v>11</v>
      </c>
      <c r="C79" s="10">
        <v>1101</v>
      </c>
      <c r="D79" s="10">
        <v>1101030</v>
      </c>
      <c r="E79" s="10">
        <v>1101030012</v>
      </c>
      <c r="F79" s="8">
        <v>351</v>
      </c>
      <c r="G79" t="str">
        <f>VLOOKUP(DATA!B79,PROVID!$A$1:$B$2,2,FALSE)</f>
        <v>ACEH</v>
      </c>
      <c r="H79" t="str">
        <f>VLOOKUP(C79,KABID!$A$1:$B$2,2,FALSE)</f>
        <v>SIMEULUE</v>
      </c>
      <c r="I79" t="str">
        <f>VLOOKUP(D79,CAMID!$A$1:$B$7,2,FALSE)</f>
        <v>SIMEULUE TENGAH</v>
      </c>
      <c r="J79" t="str">
        <f>VLOOKUP(E79,DESAID!$A$1:$B$113,2,FALSE)</f>
        <v>KUTA INANG</v>
      </c>
    </row>
    <row r="80" spans="1:10" x14ac:dyDescent="0.25">
      <c r="A80">
        <v>79</v>
      </c>
      <c r="B80" s="10">
        <v>11</v>
      </c>
      <c r="C80" s="10">
        <v>1101</v>
      </c>
      <c r="D80" s="10">
        <v>1101030</v>
      </c>
      <c r="E80" s="10">
        <v>1101030013</v>
      </c>
      <c r="F80" s="8">
        <v>418</v>
      </c>
      <c r="G80" t="str">
        <f>VLOOKUP(DATA!B80,PROVID!$A$1:$B$2,2,FALSE)</f>
        <v>ACEH</v>
      </c>
      <c r="H80" t="str">
        <f>VLOOKUP(C80,KABID!$A$1:$B$2,2,FALSE)</f>
        <v>SIMEULUE</v>
      </c>
      <c r="I80" t="str">
        <f>VLOOKUP(D80,CAMID!$A$1:$B$7,2,FALSE)</f>
        <v>SIMEULUE TENGAH</v>
      </c>
      <c r="J80" t="str">
        <f>VLOOKUP(E80,DESAID!$A$1:$B$113,2,FALSE)</f>
        <v>KUTA PADANG</v>
      </c>
    </row>
    <row r="81" spans="1:10" x14ac:dyDescent="0.25">
      <c r="A81">
        <v>80</v>
      </c>
      <c r="B81" s="10">
        <v>11</v>
      </c>
      <c r="C81" s="10">
        <v>1101</v>
      </c>
      <c r="D81" s="10">
        <v>1101030</v>
      </c>
      <c r="E81" s="10">
        <v>1101030014</v>
      </c>
      <c r="F81" s="8">
        <v>330</v>
      </c>
      <c r="G81" t="str">
        <f>VLOOKUP(DATA!B81,PROVID!$A$1:$B$2,2,FALSE)</f>
        <v>ACEH</v>
      </c>
      <c r="H81" t="str">
        <f>VLOOKUP(C81,KABID!$A$1:$B$2,2,FALSE)</f>
        <v>SIMEULUE</v>
      </c>
      <c r="I81" t="str">
        <f>VLOOKUP(D81,CAMID!$A$1:$B$7,2,FALSE)</f>
        <v>SIMEULUE TENGAH</v>
      </c>
      <c r="J81" t="str">
        <f>VLOOKUP(E81,DESAID!$A$1:$B$113,2,FALSE)</f>
        <v>LATAK AYAH</v>
      </c>
    </row>
    <row r="82" spans="1:10" x14ac:dyDescent="0.25">
      <c r="A82">
        <v>81</v>
      </c>
      <c r="B82" s="10">
        <v>11</v>
      </c>
      <c r="C82" s="10">
        <v>1101</v>
      </c>
      <c r="D82" s="10">
        <v>1101030</v>
      </c>
      <c r="E82" s="10">
        <v>1101030015</v>
      </c>
      <c r="F82" s="8">
        <v>408</v>
      </c>
      <c r="G82" t="str">
        <f>VLOOKUP(DATA!B82,PROVID!$A$1:$B$2,2,FALSE)</f>
        <v>ACEH</v>
      </c>
      <c r="H82" t="str">
        <f>VLOOKUP(C82,KABID!$A$1:$B$2,2,FALSE)</f>
        <v>SIMEULUE</v>
      </c>
      <c r="I82" t="str">
        <f>VLOOKUP(D82,CAMID!$A$1:$B$7,2,FALSE)</f>
        <v>SIMEULUE TENGAH</v>
      </c>
      <c r="J82" t="str">
        <f>VLOOKUP(E82,DESAID!$A$1:$B$113,2,FALSE)</f>
        <v>SIBULUH</v>
      </c>
    </row>
    <row r="83" spans="1:10" x14ac:dyDescent="0.25">
      <c r="A83">
        <v>82</v>
      </c>
      <c r="B83" s="10">
        <v>11</v>
      </c>
      <c r="C83" s="10">
        <v>1101</v>
      </c>
      <c r="D83" s="10">
        <v>1101030</v>
      </c>
      <c r="E83" s="10">
        <v>1101030016</v>
      </c>
      <c r="F83" s="8">
        <v>321</v>
      </c>
      <c r="G83" t="str">
        <f>VLOOKUP(DATA!B83,PROVID!$A$1:$B$2,2,FALSE)</f>
        <v>ACEH</v>
      </c>
      <c r="H83" t="str">
        <f>VLOOKUP(C83,KABID!$A$1:$B$2,2,FALSE)</f>
        <v>SIMEULUE</v>
      </c>
      <c r="I83" t="str">
        <f>VLOOKUP(D83,CAMID!$A$1:$B$7,2,FALSE)</f>
        <v>SIMEULUE TENGAH</v>
      </c>
      <c r="J83" t="str">
        <f>VLOOKUP(E83,DESAID!$A$1:$B$113,2,FALSE)</f>
        <v>BORENGAN</v>
      </c>
    </row>
    <row r="84" spans="1:10" x14ac:dyDescent="0.25">
      <c r="A84">
        <v>83</v>
      </c>
      <c r="B84" s="10">
        <v>11</v>
      </c>
      <c r="C84" s="10">
        <v>1101</v>
      </c>
      <c r="D84" s="10">
        <v>1101030</v>
      </c>
      <c r="E84" s="10">
        <v>1101030017</v>
      </c>
      <c r="F84" s="8">
        <v>274</v>
      </c>
      <c r="G84" t="str">
        <f>VLOOKUP(DATA!B84,PROVID!$A$1:$B$2,2,FALSE)</f>
        <v>ACEH</v>
      </c>
      <c r="H84" t="str">
        <f>VLOOKUP(C84,KABID!$A$1:$B$2,2,FALSE)</f>
        <v>SIMEULUE</v>
      </c>
      <c r="I84" t="str">
        <f>VLOOKUP(D84,CAMID!$A$1:$B$7,2,FALSE)</f>
        <v>SIMEULUE TENGAH</v>
      </c>
      <c r="J84" t="str">
        <f>VLOOKUP(E84,DESAID!$A$1:$B$113,2,FALSE)</f>
        <v>UJUNG PADANG</v>
      </c>
    </row>
    <row r="85" spans="1:10" x14ac:dyDescent="0.25">
      <c r="A85">
        <v>84</v>
      </c>
      <c r="B85" s="10">
        <v>11</v>
      </c>
      <c r="C85" s="10">
        <v>1101</v>
      </c>
      <c r="D85" s="10">
        <v>1101030</v>
      </c>
      <c r="E85" s="10">
        <v>1101030020</v>
      </c>
      <c r="F85" s="8">
        <v>281</v>
      </c>
      <c r="G85" t="str">
        <f>VLOOKUP(DATA!B85,PROVID!$A$1:$B$2,2,FALSE)</f>
        <v>ACEH</v>
      </c>
      <c r="H85" t="str">
        <f>VLOOKUP(C85,KABID!$A$1:$B$2,2,FALSE)</f>
        <v>SIMEULUE</v>
      </c>
      <c r="I85" t="str">
        <f>VLOOKUP(D85,CAMID!$A$1:$B$7,2,FALSE)</f>
        <v>SIMEULUE TENGAH</v>
      </c>
      <c r="J85" t="str">
        <f>VLOOKUP(E85,DESAID!$A$1:$B$113,2,FALSE)</f>
        <v>SITUFA JAYA</v>
      </c>
    </row>
    <row r="86" spans="1:10" x14ac:dyDescent="0.25">
      <c r="A86">
        <v>85</v>
      </c>
      <c r="B86" s="10">
        <v>11</v>
      </c>
      <c r="C86" s="10">
        <v>1101</v>
      </c>
      <c r="D86" s="10">
        <v>1101030</v>
      </c>
      <c r="E86" s="10">
        <v>1101030021</v>
      </c>
      <c r="F86" s="8">
        <v>299</v>
      </c>
      <c r="G86" t="str">
        <f>VLOOKUP(DATA!B86,PROVID!$A$1:$B$2,2,FALSE)</f>
        <v>ACEH</v>
      </c>
      <c r="H86" t="str">
        <f>VLOOKUP(C86,KABID!$A$1:$B$2,2,FALSE)</f>
        <v>SIMEULUE</v>
      </c>
      <c r="I86" t="str">
        <f>VLOOKUP(D86,CAMID!$A$1:$B$7,2,FALSE)</f>
        <v>SIMEULUE TENGAH</v>
      </c>
      <c r="J86" t="str">
        <f>VLOOKUP(E86,DESAID!$A$1:$B$113,2,FALSE)</f>
        <v>PUTRA JAYA</v>
      </c>
    </row>
    <row r="87" spans="1:10" x14ac:dyDescent="0.25">
      <c r="A87">
        <v>86</v>
      </c>
      <c r="B87" s="10">
        <v>11</v>
      </c>
      <c r="C87" s="10">
        <v>1101</v>
      </c>
      <c r="D87" s="10">
        <v>1101030</v>
      </c>
      <c r="E87" s="10">
        <v>1101030022</v>
      </c>
      <c r="F87" s="8">
        <v>474</v>
      </c>
      <c r="G87" t="str">
        <f>VLOOKUP(DATA!B87,PROVID!$A$1:$B$2,2,FALSE)</f>
        <v>ACEH</v>
      </c>
      <c r="H87" t="str">
        <f>VLOOKUP(C87,KABID!$A$1:$B$2,2,FALSE)</f>
        <v>SIMEULUE</v>
      </c>
      <c r="I87" t="str">
        <f>VLOOKUP(D87,CAMID!$A$1:$B$7,2,FALSE)</f>
        <v>SIMEULUE TENGAH</v>
      </c>
      <c r="J87" t="str">
        <f>VLOOKUP(E87,DESAID!$A$1:$B$113,2,FALSE)</f>
        <v>LUAN SORIP</v>
      </c>
    </row>
    <row r="88" spans="1:10" x14ac:dyDescent="0.25">
      <c r="A88">
        <v>87</v>
      </c>
      <c r="B88" s="10">
        <v>11</v>
      </c>
      <c r="C88" s="10">
        <v>1101</v>
      </c>
      <c r="D88" s="10">
        <v>1101030</v>
      </c>
      <c r="E88" s="10">
        <v>1101030023</v>
      </c>
      <c r="F88" s="8">
        <v>172</v>
      </c>
      <c r="G88" t="str">
        <f>VLOOKUP(DATA!B88,PROVID!$A$1:$B$2,2,FALSE)</f>
        <v>ACEH</v>
      </c>
      <c r="H88" t="str">
        <f>VLOOKUP(C88,KABID!$A$1:$B$2,2,FALSE)</f>
        <v>SIMEULUE</v>
      </c>
      <c r="I88" t="str">
        <f>VLOOKUP(D88,CAMID!$A$1:$B$7,2,FALSE)</f>
        <v>SIMEULUE TENGAH</v>
      </c>
      <c r="J88" t="str">
        <f>VLOOKUP(E88,DESAID!$A$1:$B$113,2,FALSE)</f>
        <v>SUAK BARU</v>
      </c>
    </row>
    <row r="89" spans="1:10" x14ac:dyDescent="0.25">
      <c r="A89">
        <v>88</v>
      </c>
      <c r="B89" s="10">
        <v>11</v>
      </c>
      <c r="C89" s="10">
        <v>1101</v>
      </c>
      <c r="D89" s="10">
        <v>1101030</v>
      </c>
      <c r="E89" s="10">
        <v>1101030024</v>
      </c>
      <c r="F89" s="8">
        <v>186</v>
      </c>
      <c r="G89" t="str">
        <f>VLOOKUP(DATA!B89,PROVID!$A$1:$B$2,2,FALSE)</f>
        <v>ACEH</v>
      </c>
      <c r="H89" t="str">
        <f>VLOOKUP(C89,KABID!$A$1:$B$2,2,FALSE)</f>
        <v>SIMEULUE</v>
      </c>
      <c r="I89" t="str">
        <f>VLOOKUP(D89,CAMID!$A$1:$B$7,2,FALSE)</f>
        <v>SIMEULUE TENGAH</v>
      </c>
      <c r="J89" t="str">
        <f>VLOOKUP(E89,DESAID!$A$1:$B$113,2,FALSE)</f>
        <v>SEBBE</v>
      </c>
    </row>
    <row r="90" spans="1:10" x14ac:dyDescent="0.25">
      <c r="A90">
        <v>89</v>
      </c>
      <c r="B90" s="10">
        <v>11</v>
      </c>
      <c r="C90" s="10">
        <v>1101</v>
      </c>
      <c r="D90" s="10">
        <v>1101030</v>
      </c>
      <c r="E90" s="10">
        <v>1101030025</v>
      </c>
      <c r="F90" s="8">
        <v>207</v>
      </c>
      <c r="G90" t="str">
        <f>VLOOKUP(DATA!B90,PROVID!$A$1:$B$2,2,FALSE)</f>
        <v>ACEH</v>
      </c>
      <c r="H90" t="str">
        <f>VLOOKUP(C90,KABID!$A$1:$B$2,2,FALSE)</f>
        <v>SIMEULUE</v>
      </c>
      <c r="I90" t="str">
        <f>VLOOKUP(D90,CAMID!$A$1:$B$7,2,FALSE)</f>
        <v>SIMEULUE TENGAH</v>
      </c>
      <c r="J90" t="str">
        <f>VLOOKUP(E90,DESAID!$A$1:$B$113,2,FALSE)</f>
        <v>KUTA BATU</v>
      </c>
    </row>
    <row r="91" spans="1:10" x14ac:dyDescent="0.25">
      <c r="A91">
        <v>90</v>
      </c>
      <c r="B91" s="10">
        <v>11</v>
      </c>
      <c r="C91" s="10">
        <v>1101</v>
      </c>
      <c r="D91" s="10">
        <v>1101030</v>
      </c>
      <c r="E91" s="10">
        <v>1101030026</v>
      </c>
      <c r="F91" s="8">
        <v>318</v>
      </c>
      <c r="G91" t="str">
        <f>VLOOKUP(DATA!B91,PROVID!$A$1:$B$2,2,FALSE)</f>
        <v>ACEH</v>
      </c>
      <c r="H91" t="str">
        <f>VLOOKUP(C91,KABID!$A$1:$B$2,2,FALSE)</f>
        <v>SIMEULUE</v>
      </c>
      <c r="I91" t="str">
        <f>VLOOKUP(D91,CAMID!$A$1:$B$7,2,FALSE)</f>
        <v>SIMEULUE TENGAH</v>
      </c>
      <c r="J91" t="str">
        <f>VLOOKUP(E91,DESAID!$A$1:$B$113,2,FALSE)</f>
        <v>WEL LANGKOM</v>
      </c>
    </row>
    <row r="92" spans="1:10" x14ac:dyDescent="0.25">
      <c r="A92">
        <v>91</v>
      </c>
      <c r="B92" s="10">
        <v>11</v>
      </c>
      <c r="C92" s="10">
        <v>1101</v>
      </c>
      <c r="D92" s="10">
        <v>1101031</v>
      </c>
      <c r="E92" s="10">
        <v>1101031001</v>
      </c>
      <c r="F92" s="8">
        <v>227</v>
      </c>
      <c r="G92" t="str">
        <f>VLOOKUP(DATA!B92,PROVID!$A$1:$B$2,2,FALSE)</f>
        <v>ACEH</v>
      </c>
      <c r="H92" t="str">
        <f>VLOOKUP(C92,KABID!$A$1:$B$2,2,FALSE)</f>
        <v>SIMEULUE</v>
      </c>
      <c r="I92" t="str">
        <f>VLOOKUP(D92,CAMID!$A$1:$B$7,2,FALSE)</f>
        <v>TELUK DALAM</v>
      </c>
      <c r="J92" t="str">
        <f>VLOOKUP(E92,DESAID!$A$1:$B$113,2,FALSE)</f>
        <v>KUALA BAKTI</v>
      </c>
    </row>
    <row r="93" spans="1:10" x14ac:dyDescent="0.25">
      <c r="A93">
        <v>92</v>
      </c>
      <c r="B93" s="10">
        <v>11</v>
      </c>
      <c r="C93" s="10">
        <v>1101</v>
      </c>
      <c r="D93" s="10">
        <v>1101031</v>
      </c>
      <c r="E93" s="10">
        <v>1101031002</v>
      </c>
      <c r="F93" s="8">
        <v>390</v>
      </c>
      <c r="G93" t="str">
        <f>VLOOKUP(DATA!B93,PROVID!$A$1:$B$2,2,FALSE)</f>
        <v>ACEH</v>
      </c>
      <c r="H93" t="str">
        <f>VLOOKUP(C93,KABID!$A$1:$B$2,2,FALSE)</f>
        <v>SIMEULUE</v>
      </c>
      <c r="I93" t="str">
        <f>VLOOKUP(D93,CAMID!$A$1:$B$7,2,FALSE)</f>
        <v>TELUK DALAM</v>
      </c>
      <c r="J93" t="str">
        <f>VLOOKUP(E93,DESAID!$A$1:$B$113,2,FALSE)</f>
        <v>LUGU SEBAHAK</v>
      </c>
    </row>
    <row r="94" spans="1:10" x14ac:dyDescent="0.25">
      <c r="A94">
        <v>93</v>
      </c>
      <c r="B94" s="10">
        <v>11</v>
      </c>
      <c r="C94" s="10">
        <v>1101</v>
      </c>
      <c r="D94" s="10">
        <v>1101031</v>
      </c>
      <c r="E94" s="10">
        <v>1101031003</v>
      </c>
      <c r="F94" s="8">
        <v>354</v>
      </c>
      <c r="G94" t="str">
        <f>VLOOKUP(DATA!B94,PROVID!$A$1:$B$2,2,FALSE)</f>
        <v>ACEH</v>
      </c>
      <c r="H94" t="str">
        <f>VLOOKUP(C94,KABID!$A$1:$B$2,2,FALSE)</f>
        <v>SIMEULUE</v>
      </c>
      <c r="I94" t="str">
        <f>VLOOKUP(D94,CAMID!$A$1:$B$7,2,FALSE)</f>
        <v>TELUK DALAM</v>
      </c>
      <c r="J94" t="str">
        <f>VLOOKUP(E94,DESAID!$A$1:$B$113,2,FALSE)</f>
        <v>GUNUNG PUTIH</v>
      </c>
    </row>
    <row r="95" spans="1:10" x14ac:dyDescent="0.25">
      <c r="A95">
        <v>94</v>
      </c>
      <c r="B95" s="10">
        <v>11</v>
      </c>
      <c r="C95" s="10">
        <v>1101</v>
      </c>
      <c r="D95" s="10">
        <v>1101031</v>
      </c>
      <c r="E95" s="10">
        <v>1101031004</v>
      </c>
      <c r="F95" s="8">
        <v>458</v>
      </c>
      <c r="G95" t="str">
        <f>VLOOKUP(DATA!B95,PROVID!$A$1:$B$2,2,FALSE)</f>
        <v>ACEH</v>
      </c>
      <c r="H95" t="str">
        <f>VLOOKUP(C95,KABID!$A$1:$B$2,2,FALSE)</f>
        <v>SIMEULUE</v>
      </c>
      <c r="I95" t="str">
        <f>VLOOKUP(D95,CAMID!$A$1:$B$7,2,FALSE)</f>
        <v>TELUK DALAM</v>
      </c>
      <c r="J95" t="str">
        <f>VLOOKUP(E95,DESAID!$A$1:$B$113,2,FALSE)</f>
        <v>BABUSSALAM</v>
      </c>
    </row>
    <row r="96" spans="1:10" x14ac:dyDescent="0.25">
      <c r="A96">
        <v>95</v>
      </c>
      <c r="B96" s="10">
        <v>11</v>
      </c>
      <c r="C96" s="10">
        <v>1101</v>
      </c>
      <c r="D96" s="10">
        <v>1101031</v>
      </c>
      <c r="E96" s="10">
        <v>1101031005</v>
      </c>
      <c r="F96" s="8">
        <v>314</v>
      </c>
      <c r="G96" t="str">
        <f>VLOOKUP(DATA!B96,PROVID!$A$1:$B$2,2,FALSE)</f>
        <v>ACEH</v>
      </c>
      <c r="H96" t="str">
        <f>VLOOKUP(C96,KABID!$A$1:$B$2,2,FALSE)</f>
        <v>SIMEULUE</v>
      </c>
      <c r="I96" t="str">
        <f>VLOOKUP(D96,CAMID!$A$1:$B$7,2,FALSE)</f>
        <v>TELUK DALAM</v>
      </c>
      <c r="J96" t="str">
        <f>VLOOKUP(E96,DESAID!$A$1:$B$113,2,FALSE)</f>
        <v>MUARA AMAN</v>
      </c>
    </row>
    <row r="97" spans="1:10" x14ac:dyDescent="0.25">
      <c r="A97">
        <v>96</v>
      </c>
      <c r="B97" s="10">
        <v>11</v>
      </c>
      <c r="C97" s="10">
        <v>1101</v>
      </c>
      <c r="D97" s="10">
        <v>1101031</v>
      </c>
      <c r="E97" s="10">
        <v>1101031006</v>
      </c>
      <c r="F97" s="8">
        <v>1070</v>
      </c>
      <c r="G97" t="str">
        <f>VLOOKUP(DATA!B97,PROVID!$A$1:$B$2,2,FALSE)</f>
        <v>ACEH</v>
      </c>
      <c r="H97" t="str">
        <f>VLOOKUP(C97,KABID!$A$1:$B$2,2,FALSE)</f>
        <v>SIMEULUE</v>
      </c>
      <c r="I97" t="str">
        <f>VLOOKUP(D97,CAMID!$A$1:$B$7,2,FALSE)</f>
        <v>TELUK DALAM</v>
      </c>
      <c r="J97" t="str">
        <f>VLOOKUP(E97,DESAID!$A$1:$B$113,2,FALSE)</f>
        <v>LUAN BALU</v>
      </c>
    </row>
    <row r="98" spans="1:10" x14ac:dyDescent="0.25">
      <c r="A98">
        <v>97</v>
      </c>
      <c r="B98" s="10">
        <v>11</v>
      </c>
      <c r="C98" s="10">
        <v>1101</v>
      </c>
      <c r="D98" s="10">
        <v>1101031</v>
      </c>
      <c r="E98" s="10">
        <v>1101031007</v>
      </c>
      <c r="F98" s="8">
        <v>546</v>
      </c>
      <c r="G98" t="str">
        <f>VLOOKUP(DATA!B98,PROVID!$A$1:$B$2,2,FALSE)</f>
        <v>ACEH</v>
      </c>
      <c r="H98" t="str">
        <f>VLOOKUP(C98,KABID!$A$1:$B$2,2,FALSE)</f>
        <v>SIMEULUE</v>
      </c>
      <c r="I98" t="str">
        <f>VLOOKUP(D98,CAMID!$A$1:$B$7,2,FALSE)</f>
        <v>TELUK DALAM</v>
      </c>
      <c r="J98" t="str">
        <f>VLOOKUP(E98,DESAID!$A$1:$B$113,2,FALSE)</f>
        <v>SAMBAI</v>
      </c>
    </row>
    <row r="99" spans="1:10" x14ac:dyDescent="0.25">
      <c r="A99">
        <v>98</v>
      </c>
      <c r="B99" s="10">
        <v>11</v>
      </c>
      <c r="C99" s="10">
        <v>1101</v>
      </c>
      <c r="D99" s="10">
        <v>1101031</v>
      </c>
      <c r="E99" s="10">
        <v>1101031008</v>
      </c>
      <c r="F99" s="8">
        <v>589</v>
      </c>
      <c r="G99" t="str">
        <f>VLOOKUP(DATA!B99,PROVID!$A$1:$B$2,2,FALSE)</f>
        <v>ACEH</v>
      </c>
      <c r="H99" t="str">
        <f>VLOOKUP(C99,KABID!$A$1:$B$2,2,FALSE)</f>
        <v>SIMEULUE</v>
      </c>
      <c r="I99" t="str">
        <f>VLOOKUP(D99,CAMID!$A$1:$B$7,2,FALSE)</f>
        <v>TELUK DALAM</v>
      </c>
      <c r="J99" t="str">
        <f>VLOOKUP(E99,DESAID!$A$1:$B$113,2,FALSE)</f>
        <v>KUALA BARU</v>
      </c>
    </row>
    <row r="100" spans="1:10" x14ac:dyDescent="0.25">
      <c r="A100">
        <v>99</v>
      </c>
      <c r="B100" s="10">
        <v>11</v>
      </c>
      <c r="C100" s="10">
        <v>1101</v>
      </c>
      <c r="D100" s="10">
        <v>1101031</v>
      </c>
      <c r="E100" s="10">
        <v>1101031009</v>
      </c>
      <c r="F100" s="8">
        <v>370</v>
      </c>
      <c r="G100" t="str">
        <f>VLOOKUP(DATA!B100,PROVID!$A$1:$B$2,2,FALSE)</f>
        <v>ACEH</v>
      </c>
      <c r="H100" t="str">
        <f>VLOOKUP(C100,KABID!$A$1:$B$2,2,FALSE)</f>
        <v>SIMEULUE</v>
      </c>
      <c r="I100" t="str">
        <f>VLOOKUP(D100,CAMID!$A$1:$B$7,2,FALSE)</f>
        <v>TELUK DALAM</v>
      </c>
      <c r="J100" t="str">
        <f>VLOOKUP(E100,DESAID!$A$1:$B$113,2,FALSE)</f>
        <v>TANJUNG RAYA</v>
      </c>
    </row>
    <row r="101" spans="1:10" x14ac:dyDescent="0.25">
      <c r="A101">
        <v>100</v>
      </c>
      <c r="B101" s="10">
        <v>11</v>
      </c>
      <c r="C101" s="10">
        <v>1101</v>
      </c>
      <c r="D101" s="10">
        <v>1101031</v>
      </c>
      <c r="E101" s="10">
        <v>1101031010</v>
      </c>
      <c r="F101" s="8">
        <v>596</v>
      </c>
      <c r="G101" t="str">
        <f>VLOOKUP(DATA!B101,PROVID!$A$1:$B$2,2,FALSE)</f>
        <v>ACEH</v>
      </c>
      <c r="H101" t="str">
        <f>VLOOKUP(C101,KABID!$A$1:$B$2,2,FALSE)</f>
        <v>SIMEULUE</v>
      </c>
      <c r="I101" t="str">
        <f>VLOOKUP(D101,CAMID!$A$1:$B$7,2,FALSE)</f>
        <v>TELUK DALAM</v>
      </c>
      <c r="J101" t="str">
        <f>VLOOKUP(E101,DESAID!$A$1:$B$113,2,FALSE)</f>
        <v>BULU HADIK</v>
      </c>
    </row>
    <row r="102" spans="1:10" x14ac:dyDescent="0.25">
      <c r="A102">
        <v>101</v>
      </c>
      <c r="B102" s="10">
        <v>11</v>
      </c>
      <c r="C102" s="10">
        <v>1101</v>
      </c>
      <c r="D102" s="10">
        <v>1101040</v>
      </c>
      <c r="E102" s="10">
        <v>1101040001</v>
      </c>
      <c r="F102" s="8">
        <v>476</v>
      </c>
      <c r="G102" t="str">
        <f>VLOOKUP(DATA!B102,PROVID!$A$1:$B$2,2,FALSE)</f>
        <v>ACEH</v>
      </c>
      <c r="H102" t="str">
        <f>VLOOKUP(C102,KABID!$A$1:$B$2,2,FALSE)</f>
        <v>SIMEULUE</v>
      </c>
      <c r="I102" t="str">
        <f>VLOOKUP(D102,CAMID!$A$1:$B$7,2,FALSE)</f>
        <v>SALANG</v>
      </c>
      <c r="J102" t="str">
        <f>VLOOKUP(E102,DESAID!$A$1:$B$113,2,FALSE)</f>
        <v>UJUNG SALANG</v>
      </c>
    </row>
    <row r="103" spans="1:10" x14ac:dyDescent="0.25">
      <c r="A103">
        <v>102</v>
      </c>
      <c r="B103" s="10">
        <v>11</v>
      </c>
      <c r="C103" s="10">
        <v>1101</v>
      </c>
      <c r="D103" s="10">
        <v>1101040</v>
      </c>
      <c r="E103" s="10">
        <v>1101040002</v>
      </c>
      <c r="F103" s="8">
        <v>667</v>
      </c>
      <c r="G103" t="str">
        <f>VLOOKUP(DATA!B103,PROVID!$A$1:$B$2,2,FALSE)</f>
        <v>ACEH</v>
      </c>
      <c r="H103" t="str">
        <f>VLOOKUP(C103,KABID!$A$1:$B$2,2,FALSE)</f>
        <v>SIMEULUE</v>
      </c>
      <c r="I103" t="str">
        <f>VLOOKUP(D103,CAMID!$A$1:$B$7,2,FALSE)</f>
        <v>SALANG</v>
      </c>
      <c r="J103" t="str">
        <f>VLOOKUP(E103,DESAID!$A$1:$B$113,2,FALSE)</f>
        <v>PADANG UNOI</v>
      </c>
    </row>
    <row r="104" spans="1:10" x14ac:dyDescent="0.25">
      <c r="A104">
        <v>103</v>
      </c>
      <c r="B104" s="10">
        <v>11</v>
      </c>
      <c r="C104" s="10">
        <v>1101</v>
      </c>
      <c r="D104" s="10">
        <v>1101040</v>
      </c>
      <c r="E104" s="10">
        <v>1101040003</v>
      </c>
      <c r="F104" s="8">
        <v>813</v>
      </c>
      <c r="G104" t="str">
        <f>VLOOKUP(DATA!B104,PROVID!$A$1:$B$2,2,FALSE)</f>
        <v>ACEH</v>
      </c>
      <c r="H104" t="str">
        <f>VLOOKUP(C104,KABID!$A$1:$B$2,2,FALSE)</f>
        <v>SIMEULUE</v>
      </c>
      <c r="I104" t="str">
        <f>VLOOKUP(D104,CAMID!$A$1:$B$7,2,FALSE)</f>
        <v>SALANG</v>
      </c>
      <c r="J104" t="str">
        <f>VLOOKUP(E104,DESAID!$A$1:$B$113,2,FALSE)</f>
        <v>MEUNAFA</v>
      </c>
    </row>
    <row r="105" spans="1:10" x14ac:dyDescent="0.25">
      <c r="A105">
        <v>104</v>
      </c>
      <c r="B105" s="10">
        <v>11</v>
      </c>
      <c r="C105" s="10">
        <v>1101</v>
      </c>
      <c r="D105" s="10">
        <v>1101040</v>
      </c>
      <c r="E105" s="10">
        <v>1101040004</v>
      </c>
      <c r="F105" s="8">
        <v>933</v>
      </c>
      <c r="G105" t="str">
        <f>VLOOKUP(DATA!B105,PROVID!$A$1:$B$2,2,FALSE)</f>
        <v>ACEH</v>
      </c>
      <c r="H105" t="str">
        <f>VLOOKUP(C105,KABID!$A$1:$B$2,2,FALSE)</f>
        <v>SIMEULUE</v>
      </c>
      <c r="I105" t="str">
        <f>VLOOKUP(D105,CAMID!$A$1:$B$7,2,FALSE)</f>
        <v>SALANG</v>
      </c>
      <c r="J105" t="str">
        <f>VLOOKUP(E105,DESAID!$A$1:$B$113,2,FALSE)</f>
        <v>NASREUHE</v>
      </c>
    </row>
    <row r="106" spans="1:10" x14ac:dyDescent="0.25">
      <c r="A106">
        <v>105</v>
      </c>
      <c r="B106" s="10">
        <v>11</v>
      </c>
      <c r="C106" s="10">
        <v>1101</v>
      </c>
      <c r="D106" s="10">
        <v>1101040</v>
      </c>
      <c r="E106" s="10">
        <v>1101040005</v>
      </c>
      <c r="F106" s="8">
        <v>425</v>
      </c>
      <c r="G106" t="str">
        <f>VLOOKUP(DATA!B106,PROVID!$A$1:$B$2,2,FALSE)</f>
        <v>ACEH</v>
      </c>
      <c r="H106" t="str">
        <f>VLOOKUP(C106,KABID!$A$1:$B$2,2,FALSE)</f>
        <v>SIMEULUE</v>
      </c>
      <c r="I106" t="str">
        <f>VLOOKUP(D106,CAMID!$A$1:$B$7,2,FALSE)</f>
        <v>SALANG</v>
      </c>
      <c r="J106" t="str">
        <f>VLOOKUP(E106,DESAID!$A$1:$B$113,2,FALSE)</f>
        <v>ALONG</v>
      </c>
    </row>
    <row r="107" spans="1:10" x14ac:dyDescent="0.25">
      <c r="A107">
        <v>106</v>
      </c>
      <c r="B107" s="10">
        <v>11</v>
      </c>
      <c r="C107" s="10">
        <v>1101</v>
      </c>
      <c r="D107" s="10">
        <v>1101040</v>
      </c>
      <c r="E107" s="10">
        <v>1101040006</v>
      </c>
      <c r="F107" s="8">
        <v>359</v>
      </c>
      <c r="G107" t="str">
        <f>VLOOKUP(DATA!B107,PROVID!$A$1:$B$2,2,FALSE)</f>
        <v>ACEH</v>
      </c>
      <c r="H107" t="str">
        <f>VLOOKUP(C107,KABID!$A$1:$B$2,2,FALSE)</f>
        <v>SIMEULUE</v>
      </c>
      <c r="I107" t="str">
        <f>VLOOKUP(D107,CAMID!$A$1:$B$7,2,FALSE)</f>
        <v>SALANG</v>
      </c>
      <c r="J107" t="str">
        <f>VLOOKUP(E107,DESAID!$A$1:$B$113,2,FALSE)</f>
        <v>PANTON LAWE</v>
      </c>
    </row>
    <row r="108" spans="1:10" x14ac:dyDescent="0.25">
      <c r="A108">
        <v>107</v>
      </c>
      <c r="B108" s="10">
        <v>11</v>
      </c>
      <c r="C108" s="10">
        <v>1101</v>
      </c>
      <c r="D108" s="10">
        <v>1101040</v>
      </c>
      <c r="E108" s="10">
        <v>1101040007</v>
      </c>
      <c r="F108" s="8">
        <v>458</v>
      </c>
      <c r="G108" t="str">
        <f>VLOOKUP(DATA!B108,PROVID!$A$1:$B$2,2,FALSE)</f>
        <v>ACEH</v>
      </c>
      <c r="H108" t="str">
        <f>VLOOKUP(C108,KABID!$A$1:$B$2,2,FALSE)</f>
        <v>SIMEULUE</v>
      </c>
      <c r="I108" t="str">
        <f>VLOOKUP(D108,CAMID!$A$1:$B$7,2,FALSE)</f>
        <v>SALANG</v>
      </c>
      <c r="J108" t="str">
        <f>VLOOKUP(E108,DESAID!$A$1:$B$113,2,FALSE)</f>
        <v>MUTIARA</v>
      </c>
    </row>
    <row r="109" spans="1:10" x14ac:dyDescent="0.25">
      <c r="A109">
        <v>108</v>
      </c>
      <c r="B109" s="10">
        <v>11</v>
      </c>
      <c r="C109" s="10">
        <v>1101</v>
      </c>
      <c r="D109" s="10">
        <v>1101040</v>
      </c>
      <c r="E109" s="10">
        <v>1101040008</v>
      </c>
      <c r="F109" s="8">
        <v>454</v>
      </c>
      <c r="G109" t="str">
        <f>VLOOKUP(DATA!B109,PROVID!$A$1:$B$2,2,FALSE)</f>
        <v>ACEH</v>
      </c>
      <c r="H109" t="str">
        <f>VLOOKUP(C109,KABID!$A$1:$B$2,2,FALSE)</f>
        <v>SIMEULUE</v>
      </c>
      <c r="I109" t="str">
        <f>VLOOKUP(D109,CAMID!$A$1:$B$7,2,FALSE)</f>
        <v>SALANG</v>
      </c>
      <c r="J109" t="str">
        <f>VLOOKUP(E109,DESAID!$A$1:$B$113,2,FALSE)</f>
        <v>KARYA BAKTI</v>
      </c>
    </row>
    <row r="110" spans="1:10" x14ac:dyDescent="0.25">
      <c r="A110">
        <v>109</v>
      </c>
      <c r="B110" s="10">
        <v>11</v>
      </c>
      <c r="C110" s="10">
        <v>1101</v>
      </c>
      <c r="D110" s="10">
        <v>1101040</v>
      </c>
      <c r="E110" s="10">
        <v>1101040009</v>
      </c>
      <c r="F110" s="8">
        <v>420</v>
      </c>
      <c r="G110" t="str">
        <f>VLOOKUP(DATA!B110,PROVID!$A$1:$B$2,2,FALSE)</f>
        <v>ACEH</v>
      </c>
      <c r="H110" t="str">
        <f>VLOOKUP(C110,KABID!$A$1:$B$2,2,FALSE)</f>
        <v>SIMEULUE</v>
      </c>
      <c r="I110" t="str">
        <f>VLOOKUP(D110,CAMID!$A$1:$B$7,2,FALSE)</f>
        <v>SALANG</v>
      </c>
      <c r="J110" t="str">
        <f>VLOOKUP(E110,DESAID!$A$1:$B$113,2,FALSE)</f>
        <v>TAMON</v>
      </c>
    </row>
    <row r="111" spans="1:10" x14ac:dyDescent="0.25">
      <c r="A111">
        <v>110</v>
      </c>
      <c r="B111" s="10">
        <v>11</v>
      </c>
      <c r="C111" s="10">
        <v>1101</v>
      </c>
      <c r="D111" s="10">
        <v>1101040</v>
      </c>
      <c r="E111" s="10">
        <v>1101040010</v>
      </c>
      <c r="F111" s="8">
        <v>451</v>
      </c>
      <c r="G111" t="str">
        <f>VLOOKUP(DATA!B111,PROVID!$A$1:$B$2,2,FALSE)</f>
        <v>ACEH</v>
      </c>
      <c r="H111" t="str">
        <f>VLOOKUP(C111,KABID!$A$1:$B$2,2,FALSE)</f>
        <v>SIMEULUE</v>
      </c>
      <c r="I111" t="str">
        <f>VLOOKUP(D111,CAMID!$A$1:$B$7,2,FALSE)</f>
        <v>SALANG</v>
      </c>
      <c r="J111" t="str">
        <f>VLOOKUP(E111,DESAID!$A$1:$B$113,2,FALSE)</f>
        <v>JAYA BARU</v>
      </c>
    </row>
    <row r="112" spans="1:10" x14ac:dyDescent="0.25">
      <c r="A112">
        <v>111</v>
      </c>
      <c r="B112" s="10">
        <v>11</v>
      </c>
      <c r="C112" s="10">
        <v>1101</v>
      </c>
      <c r="D112" s="10">
        <v>1101040</v>
      </c>
      <c r="E112" s="10">
        <v>1101040011</v>
      </c>
      <c r="F112" s="8">
        <v>540</v>
      </c>
      <c r="G112" t="str">
        <f>VLOOKUP(DATA!B112,PROVID!$A$1:$B$2,2,FALSE)</f>
        <v>ACEH</v>
      </c>
      <c r="H112" t="str">
        <f>VLOOKUP(C112,KABID!$A$1:$B$2,2,FALSE)</f>
        <v>SIMEULUE</v>
      </c>
      <c r="I112" t="str">
        <f>VLOOKUP(D112,CAMID!$A$1:$B$7,2,FALSE)</f>
        <v>SALANG</v>
      </c>
      <c r="J112" t="str">
        <f>VLOOKUP(E112,DESAID!$A$1:$B$113,2,FALSE)</f>
        <v>TAMENG</v>
      </c>
    </row>
    <row r="113" spans="1:10" x14ac:dyDescent="0.25">
      <c r="A113">
        <v>112</v>
      </c>
      <c r="B113" s="10">
        <v>11</v>
      </c>
      <c r="C113" s="10">
        <v>1101</v>
      </c>
      <c r="D113" s="10">
        <v>1101040</v>
      </c>
      <c r="E113" s="10">
        <v>1101040012</v>
      </c>
      <c r="F113" s="8">
        <v>265</v>
      </c>
      <c r="G113" t="str">
        <f>VLOOKUP(DATA!B113,PROVID!$A$1:$B$2,2,FALSE)</f>
        <v>ACEH</v>
      </c>
      <c r="H113" t="str">
        <f>VLOOKUP(C113,KABID!$A$1:$B$2,2,FALSE)</f>
        <v>SIMEULUE</v>
      </c>
      <c r="I113" t="str">
        <f>VLOOKUP(D113,CAMID!$A$1:$B$7,2,FALSE)</f>
        <v>SALANG</v>
      </c>
      <c r="J113" t="str">
        <f>VLOOKUP(E113,DESAID!$A$1:$B$113,2,FALSE)</f>
        <v>LALLA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3"/>
  <sheetViews>
    <sheetView workbookViewId="0">
      <selection activeCell="I2" sqref="I2"/>
    </sheetView>
  </sheetViews>
  <sheetFormatPr defaultRowHeight="15" x14ac:dyDescent="0.25"/>
  <cols>
    <col min="1" max="1" width="9.140625" style="24"/>
    <col min="2" max="2" width="8.42578125" style="24" customWidth="1"/>
    <col min="3" max="3" width="7" style="24" customWidth="1"/>
    <col min="4" max="4" width="8" style="24" bestFit="1" customWidth="1"/>
    <col min="5" max="5" width="11" style="24" bestFit="1" customWidth="1"/>
    <col min="6" max="6" width="20.85546875" style="24" bestFit="1" customWidth="1"/>
    <col min="7" max="7" width="16.42578125" style="24" bestFit="1" customWidth="1"/>
    <col min="8" max="8" width="10.28515625" style="24" bestFit="1" customWidth="1"/>
    <col min="9" max="9" width="9.140625" style="24"/>
    <col min="10" max="10" width="10.28515625" style="24" bestFit="1" customWidth="1"/>
    <col min="11" max="11" width="9.140625" style="24"/>
    <col min="12" max="12" width="13.140625" style="24" bestFit="1" customWidth="1"/>
    <col min="13" max="13" width="9.140625" style="24"/>
    <col min="14" max="14" width="18.140625" style="24" bestFit="1" customWidth="1"/>
    <col min="15" max="15" width="11" style="24" bestFit="1" customWidth="1"/>
    <col min="16" max="16" width="16" style="24" bestFit="1" customWidth="1"/>
    <col min="17" max="17" width="20.85546875" style="24" bestFit="1" customWidth="1"/>
    <col min="18" max="16384" width="9.140625" style="24"/>
  </cols>
  <sheetData>
    <row r="1" spans="1:17" ht="15.75" x14ac:dyDescent="0.25">
      <c r="A1" s="23" t="s">
        <v>316</v>
      </c>
      <c r="B1" s="23" t="s">
        <v>124</v>
      </c>
      <c r="C1" s="23" t="s">
        <v>125</v>
      </c>
      <c r="D1" s="23" t="s">
        <v>126</v>
      </c>
      <c r="E1" s="23" t="s">
        <v>127</v>
      </c>
      <c r="F1" s="23" t="s">
        <v>128</v>
      </c>
      <c r="G1" s="23" t="s">
        <v>317</v>
      </c>
      <c r="H1" s="23" t="s">
        <v>318</v>
      </c>
      <c r="I1" s="23" t="s">
        <v>124</v>
      </c>
      <c r="J1" s="23" t="s">
        <v>129</v>
      </c>
      <c r="K1" s="23" t="s">
        <v>125</v>
      </c>
      <c r="L1" s="23" t="s">
        <v>130</v>
      </c>
      <c r="M1" s="23" t="s">
        <v>126</v>
      </c>
      <c r="N1" s="23" t="s">
        <v>131</v>
      </c>
      <c r="O1" s="23" t="s">
        <v>127</v>
      </c>
      <c r="P1" s="23" t="s">
        <v>132</v>
      </c>
      <c r="Q1" s="23" t="s">
        <v>319</v>
      </c>
    </row>
    <row r="2" spans="1:17" x14ac:dyDescent="0.25">
      <c r="A2" s="24">
        <v>1</v>
      </c>
      <c r="B2" s="25">
        <v>11</v>
      </c>
      <c r="C2" s="26">
        <v>1101</v>
      </c>
      <c r="D2" s="26">
        <v>1101010</v>
      </c>
      <c r="E2" s="26">
        <v>1101010001</v>
      </c>
      <c r="F2" s="25">
        <v>270</v>
      </c>
      <c r="G2" s="24">
        <f ca="1">RANDBETWEEN($A$2,$A$113)</f>
        <v>92</v>
      </c>
      <c r="H2">
        <v>102</v>
      </c>
      <c r="I2" s="24">
        <f>SUMIF($A$2:$A$113,$H$2,$B$2:$B$113)</f>
        <v>11</v>
      </c>
      <c r="J2" s="24" t="str">
        <f>VLOOKUP(I2,[1]PROVID!$A$2:$B$2,2,FALSE)</f>
        <v>ACEH</v>
      </c>
      <c r="K2" s="24">
        <f>SUMIF($A$2:$A$113,H2,$C$2:$C$113)</f>
        <v>1101</v>
      </c>
      <c r="L2" s="24" t="str">
        <f>VLOOKUP(K2,[1]KABID!$A$2:$B$3,2,FALSE)</f>
        <v>SIMEULUE</v>
      </c>
      <c r="M2" s="24">
        <f>SUMIF($A$2:$A$113,H2,$D$2:$D$113)</f>
        <v>1101040</v>
      </c>
      <c r="N2" s="24" t="str">
        <f>VLOOKUP(M2,[1]CAMID!$A$2:$B$7,2,FALSE)</f>
        <v xml:space="preserve"> SALANG</v>
      </c>
      <c r="O2" s="24">
        <f>SUMIF($A$2:$A$113,H2,$E$2:$E$113)</f>
        <v>1101040002</v>
      </c>
      <c r="P2" s="24" t="str">
        <f>VLOOKUP(O2,[1]DESAID!$A$2:$B$113,2,FALSE)</f>
        <v xml:space="preserve"> PADANG UNOI</v>
      </c>
      <c r="Q2" s="25">
        <f>F2</f>
        <v>270</v>
      </c>
    </row>
    <row r="3" spans="1:17" x14ac:dyDescent="0.25">
      <c r="A3" s="24">
        <v>2</v>
      </c>
      <c r="B3" s="26">
        <v>11</v>
      </c>
      <c r="C3" s="26">
        <v>1101</v>
      </c>
      <c r="D3" s="26">
        <v>1101010</v>
      </c>
      <c r="E3" s="26">
        <v>1101010002</v>
      </c>
      <c r="F3" s="25">
        <v>398</v>
      </c>
      <c r="G3" s="24">
        <f t="shared" ref="G3:G66" ca="1" si="0">RANDBETWEEN($A$2,$A$113)</f>
        <v>96</v>
      </c>
      <c r="H3">
        <v>50</v>
      </c>
      <c r="I3" s="24">
        <f t="shared" ref="I3:I66" si="1">SUMIF($A$2:$A$113,$H$2,$B$2:$B$113)</f>
        <v>11</v>
      </c>
      <c r="J3" s="24" t="str">
        <f>VLOOKUP(I3,[1]PROVID!$A$2:$B$2,2,FALSE)</f>
        <v>ACEH</v>
      </c>
      <c r="K3" s="24">
        <f t="shared" ref="K3:K31" si="2">SUMIF($A$2:$A$113,H3,$C$2:$C$113)</f>
        <v>1101</v>
      </c>
      <c r="L3" s="24" t="str">
        <f>VLOOKUP(K3,[1]KABID!$A$2:$B$3,2,FALSE)</f>
        <v>SIMEULUE</v>
      </c>
      <c r="M3" s="24">
        <f t="shared" ref="M3:M31" si="3">SUMIF($A$2:$A$113,H3,$D$2:$D$113)</f>
        <v>1101021</v>
      </c>
      <c r="N3" s="24" t="str">
        <f>VLOOKUP(M3,[1]CAMID!$A$2:$B$7,2,FALSE)</f>
        <v xml:space="preserve"> TEUPAH BARAT</v>
      </c>
      <c r="O3" s="24">
        <f t="shared" ref="O3:O31" si="4">SUMIF($A$2:$A$113,H3,$E$2:$E$113)</f>
        <v>1101021002</v>
      </c>
      <c r="P3" s="24" t="str">
        <f>VLOOKUP(O3,[1]DESAID!$A$2:$B$113,2,FALSE)</f>
        <v xml:space="preserve"> LEUBANG</v>
      </c>
      <c r="Q3" s="25">
        <f t="shared" ref="Q3:Q31" si="5">F3</f>
        <v>398</v>
      </c>
    </row>
    <row r="4" spans="1:17" x14ac:dyDescent="0.25">
      <c r="A4" s="24">
        <v>3</v>
      </c>
      <c r="B4" s="26">
        <v>11</v>
      </c>
      <c r="C4" s="26">
        <v>1101</v>
      </c>
      <c r="D4" s="26">
        <v>1101010</v>
      </c>
      <c r="E4" s="26">
        <v>1101010003</v>
      </c>
      <c r="F4" s="25">
        <v>465</v>
      </c>
      <c r="G4" s="24">
        <f t="shared" ca="1" si="0"/>
        <v>70</v>
      </c>
      <c r="H4">
        <v>87</v>
      </c>
      <c r="I4" s="24">
        <f t="shared" si="1"/>
        <v>11</v>
      </c>
      <c r="J4" s="24" t="str">
        <f>VLOOKUP(I4,[1]PROVID!$A$2:$B$2,2,FALSE)</f>
        <v>ACEH</v>
      </c>
      <c r="K4" s="24">
        <f t="shared" si="2"/>
        <v>1101</v>
      </c>
      <c r="L4" s="24" t="str">
        <f>VLOOKUP(K4,[1]KABID!$A$2:$B$3,2,FALSE)</f>
        <v>SIMEULUE</v>
      </c>
      <c r="M4" s="24">
        <f t="shared" si="3"/>
        <v>1101030</v>
      </c>
      <c r="N4" s="24" t="str">
        <f>VLOOKUP(M4,[1]CAMID!$A$2:$B$7,2,FALSE)</f>
        <v xml:space="preserve"> SIMEULUE TENGAH</v>
      </c>
      <c r="O4" s="24">
        <f t="shared" si="4"/>
        <v>1101030023</v>
      </c>
      <c r="P4" s="24" t="str">
        <f>VLOOKUP(O4,[1]DESAID!$A$2:$B$113,2,FALSE)</f>
        <v xml:space="preserve"> SUAK BARU</v>
      </c>
      <c r="Q4" s="25">
        <f t="shared" si="5"/>
        <v>465</v>
      </c>
    </row>
    <row r="5" spans="1:17" x14ac:dyDescent="0.25">
      <c r="A5" s="24">
        <v>4</v>
      </c>
      <c r="B5" s="26">
        <v>11</v>
      </c>
      <c r="C5" s="26">
        <v>1101</v>
      </c>
      <c r="D5" s="26">
        <v>1101010</v>
      </c>
      <c r="E5" s="26">
        <v>1101010004</v>
      </c>
      <c r="F5" s="25">
        <v>515</v>
      </c>
      <c r="G5" s="24">
        <f t="shared" ca="1" si="0"/>
        <v>32</v>
      </c>
      <c r="H5">
        <v>39</v>
      </c>
      <c r="I5" s="24">
        <f t="shared" si="1"/>
        <v>11</v>
      </c>
      <c r="J5" s="24" t="str">
        <f>VLOOKUP(I5,[1]PROVID!$A$2:$B$2,2,FALSE)</f>
        <v>ACEH</v>
      </c>
      <c r="K5" s="24">
        <f t="shared" si="2"/>
        <v>1101</v>
      </c>
      <c r="L5" s="24" t="str">
        <f>VLOOKUP(K5,[1]KABID!$A$2:$B$3,2,FALSE)</f>
        <v>SIMEULUE</v>
      </c>
      <c r="M5" s="24">
        <f t="shared" si="3"/>
        <v>1101020</v>
      </c>
      <c r="N5" s="24" t="str">
        <f>VLOOKUP(M5,[1]CAMID!$A$2:$B$7,2,FALSE)</f>
        <v xml:space="preserve"> SIMEULUE TIMUR</v>
      </c>
      <c r="O5" s="24">
        <f t="shared" si="4"/>
        <v>1101020031</v>
      </c>
      <c r="P5" s="24" t="str">
        <f>VLOOKUP(O5,[1]DESAID!$A$2:$B$113,2,FALSE)</f>
        <v xml:space="preserve"> AIR DINGIN</v>
      </c>
      <c r="Q5" s="25">
        <f t="shared" si="5"/>
        <v>515</v>
      </c>
    </row>
    <row r="6" spans="1:17" x14ac:dyDescent="0.25">
      <c r="A6" s="24">
        <v>5</v>
      </c>
      <c r="B6" s="26">
        <v>11</v>
      </c>
      <c r="C6" s="26">
        <v>1101</v>
      </c>
      <c r="D6" s="26">
        <v>1101010</v>
      </c>
      <c r="E6" s="26">
        <v>1101010005</v>
      </c>
      <c r="F6" s="25">
        <v>340</v>
      </c>
      <c r="G6" s="24">
        <f t="shared" ca="1" si="0"/>
        <v>96</v>
      </c>
      <c r="H6">
        <v>34</v>
      </c>
      <c r="I6" s="24">
        <f t="shared" si="1"/>
        <v>11</v>
      </c>
      <c r="J6" s="24" t="str">
        <f>VLOOKUP(I6,[1]PROVID!$A$2:$B$2,2,FALSE)</f>
        <v>ACEH</v>
      </c>
      <c r="K6" s="24">
        <f t="shared" si="2"/>
        <v>1101</v>
      </c>
      <c r="L6" s="24" t="str">
        <f>VLOOKUP(K6,[1]KABID!$A$2:$B$3,2,FALSE)</f>
        <v>SIMEULUE</v>
      </c>
      <c r="M6" s="24">
        <f t="shared" si="3"/>
        <v>1101020</v>
      </c>
      <c r="N6" s="24" t="str">
        <f>VLOOKUP(M6,[1]CAMID!$A$2:$B$7,2,FALSE)</f>
        <v xml:space="preserve"> SIMEULUE TIMUR</v>
      </c>
      <c r="O6" s="24">
        <f t="shared" si="4"/>
        <v>1101020026</v>
      </c>
      <c r="P6" s="24" t="str">
        <f>VLOOKUP(O6,[1]DESAID!$A$2:$B$113,2,FALSE)</f>
        <v xml:space="preserve"> LUGU</v>
      </c>
      <c r="Q6" s="25">
        <f t="shared" si="5"/>
        <v>340</v>
      </c>
    </row>
    <row r="7" spans="1:17" x14ac:dyDescent="0.25">
      <c r="A7" s="24">
        <v>6</v>
      </c>
      <c r="B7" s="26">
        <v>11</v>
      </c>
      <c r="C7" s="26">
        <v>1101</v>
      </c>
      <c r="D7" s="26">
        <v>1101010</v>
      </c>
      <c r="E7" s="26">
        <v>1101010006</v>
      </c>
      <c r="F7" s="25">
        <v>378</v>
      </c>
      <c r="G7" s="24">
        <f t="shared" ca="1" si="0"/>
        <v>101</v>
      </c>
      <c r="H7">
        <v>106</v>
      </c>
      <c r="I7" s="24">
        <f t="shared" si="1"/>
        <v>11</v>
      </c>
      <c r="J7" s="24" t="str">
        <f>VLOOKUP(I7,[1]PROVID!$A$2:$B$2,2,FALSE)</f>
        <v>ACEH</v>
      </c>
      <c r="K7" s="24">
        <f t="shared" si="2"/>
        <v>1101</v>
      </c>
      <c r="L7" s="24" t="str">
        <f>VLOOKUP(K7,[1]KABID!$A$2:$B$3,2,FALSE)</f>
        <v>SIMEULUE</v>
      </c>
      <c r="M7" s="24">
        <f t="shared" si="3"/>
        <v>1101040</v>
      </c>
      <c r="N7" s="24" t="str">
        <f>VLOOKUP(M7,[1]CAMID!$A$2:$B$7,2,FALSE)</f>
        <v xml:space="preserve"> SALANG</v>
      </c>
      <c r="O7" s="24">
        <f t="shared" si="4"/>
        <v>1101040006</v>
      </c>
      <c r="P7" s="24" t="str">
        <f>VLOOKUP(O7,[1]DESAID!$A$2:$B$113,2,FALSE)</f>
        <v xml:space="preserve"> PANTON LAWE</v>
      </c>
      <c r="Q7" s="25">
        <f t="shared" si="5"/>
        <v>378</v>
      </c>
    </row>
    <row r="8" spans="1:17" x14ac:dyDescent="0.25">
      <c r="A8" s="24">
        <v>7</v>
      </c>
      <c r="B8" s="26">
        <v>11</v>
      </c>
      <c r="C8" s="26">
        <v>1101</v>
      </c>
      <c r="D8" s="26">
        <v>1101010</v>
      </c>
      <c r="E8" s="26">
        <v>1101010007</v>
      </c>
      <c r="F8" s="25">
        <v>289</v>
      </c>
      <c r="G8" s="24">
        <f t="shared" ca="1" si="0"/>
        <v>44</v>
      </c>
      <c r="H8">
        <v>98</v>
      </c>
      <c r="I8" s="24">
        <f t="shared" si="1"/>
        <v>11</v>
      </c>
      <c r="J8" s="24" t="str">
        <f>VLOOKUP(I8,[1]PROVID!$A$2:$B$2,2,FALSE)</f>
        <v>ACEH</v>
      </c>
      <c r="K8" s="24">
        <f t="shared" si="2"/>
        <v>1101</v>
      </c>
      <c r="L8" s="24" t="str">
        <f>VLOOKUP(K8,[1]KABID!$A$2:$B$3,2,FALSE)</f>
        <v>SIMEULUE</v>
      </c>
      <c r="M8" s="24">
        <f t="shared" si="3"/>
        <v>1101031</v>
      </c>
      <c r="N8" s="24" t="str">
        <f>VLOOKUP(M8,[1]CAMID!$A$2:$B$7,2,FALSE)</f>
        <v xml:space="preserve"> TELUK DALAM</v>
      </c>
      <c r="O8" s="24">
        <f t="shared" si="4"/>
        <v>1101031008</v>
      </c>
      <c r="P8" s="24" t="str">
        <f>VLOOKUP(O8,[1]DESAID!$A$2:$B$113,2,FALSE)</f>
        <v xml:space="preserve"> KUALA BARU</v>
      </c>
      <c r="Q8" s="25">
        <f t="shared" si="5"/>
        <v>289</v>
      </c>
    </row>
    <row r="9" spans="1:17" x14ac:dyDescent="0.25">
      <c r="A9" s="24">
        <v>8</v>
      </c>
      <c r="B9" s="26">
        <v>11</v>
      </c>
      <c r="C9" s="26">
        <v>1101</v>
      </c>
      <c r="D9" s="26">
        <v>1101010</v>
      </c>
      <c r="E9" s="26">
        <v>1101010008</v>
      </c>
      <c r="F9" s="25">
        <v>398</v>
      </c>
      <c r="G9" s="24">
        <f t="shared" ca="1" si="0"/>
        <v>44</v>
      </c>
      <c r="H9">
        <v>96</v>
      </c>
      <c r="I9" s="24">
        <f t="shared" si="1"/>
        <v>11</v>
      </c>
      <c r="J9" s="24" t="str">
        <f>VLOOKUP(I9,[1]PROVID!$A$2:$B$2,2,FALSE)</f>
        <v>ACEH</v>
      </c>
      <c r="K9" s="24">
        <f t="shared" si="2"/>
        <v>1101</v>
      </c>
      <c r="L9" s="24" t="str">
        <f>VLOOKUP(K9,[1]KABID!$A$2:$B$3,2,FALSE)</f>
        <v>SIMEULUE</v>
      </c>
      <c r="M9" s="24">
        <f t="shared" si="3"/>
        <v>1101031</v>
      </c>
      <c r="N9" s="24" t="str">
        <f>VLOOKUP(M9,[1]CAMID!$A$2:$B$7,2,FALSE)</f>
        <v xml:space="preserve"> TELUK DALAM</v>
      </c>
      <c r="O9" s="24">
        <f t="shared" si="4"/>
        <v>1101031006</v>
      </c>
      <c r="P9" s="24" t="str">
        <f>VLOOKUP(O9,[1]DESAID!$A$2:$B$113,2,FALSE)</f>
        <v xml:space="preserve"> LUAN BALU</v>
      </c>
      <c r="Q9" s="25">
        <f t="shared" si="5"/>
        <v>398</v>
      </c>
    </row>
    <row r="10" spans="1:17" x14ac:dyDescent="0.25">
      <c r="A10" s="24">
        <v>9</v>
      </c>
      <c r="B10" s="26">
        <v>11</v>
      </c>
      <c r="C10" s="26">
        <v>1101</v>
      </c>
      <c r="D10" s="26">
        <v>1101010</v>
      </c>
      <c r="E10" s="26">
        <v>1101010009</v>
      </c>
      <c r="F10" s="25">
        <v>310</v>
      </c>
      <c r="G10" s="24">
        <f t="shared" ca="1" si="0"/>
        <v>41</v>
      </c>
      <c r="H10">
        <v>98</v>
      </c>
      <c r="I10" s="24">
        <f t="shared" si="1"/>
        <v>11</v>
      </c>
      <c r="J10" s="24" t="str">
        <f>VLOOKUP(I10,[1]PROVID!$A$2:$B$2,2,FALSE)</f>
        <v>ACEH</v>
      </c>
      <c r="K10" s="24">
        <f t="shared" si="2"/>
        <v>1101</v>
      </c>
      <c r="L10" s="24" t="str">
        <f>VLOOKUP(K10,[1]KABID!$A$2:$B$3,2,FALSE)</f>
        <v>SIMEULUE</v>
      </c>
      <c r="M10" s="24">
        <f t="shared" si="3"/>
        <v>1101031</v>
      </c>
      <c r="N10" s="24" t="str">
        <f>VLOOKUP(M10,[1]CAMID!$A$2:$B$7,2,FALSE)</f>
        <v xml:space="preserve"> TELUK DALAM</v>
      </c>
      <c r="O10" s="24">
        <f t="shared" si="4"/>
        <v>1101031008</v>
      </c>
      <c r="P10" s="24" t="str">
        <f>VLOOKUP(O10,[1]DESAID!$A$2:$B$113,2,FALSE)</f>
        <v xml:space="preserve"> KUALA BARU</v>
      </c>
      <c r="Q10" s="25">
        <f t="shared" si="5"/>
        <v>310</v>
      </c>
    </row>
    <row r="11" spans="1:17" x14ac:dyDescent="0.25">
      <c r="A11" s="24">
        <v>10</v>
      </c>
      <c r="B11" s="26">
        <v>11</v>
      </c>
      <c r="C11" s="26">
        <v>1101</v>
      </c>
      <c r="D11" s="26">
        <v>1101010</v>
      </c>
      <c r="E11" s="26">
        <v>1101010010</v>
      </c>
      <c r="F11" s="25">
        <v>396</v>
      </c>
      <c r="G11" s="24">
        <f t="shared" ca="1" si="0"/>
        <v>34</v>
      </c>
      <c r="H11">
        <v>88</v>
      </c>
      <c r="I11" s="24">
        <f t="shared" si="1"/>
        <v>11</v>
      </c>
      <c r="J11" s="24" t="str">
        <f>VLOOKUP(I11,[1]PROVID!$A$2:$B$2,2,FALSE)</f>
        <v>ACEH</v>
      </c>
      <c r="K11" s="24">
        <f t="shared" si="2"/>
        <v>1101</v>
      </c>
      <c r="L11" s="24" t="str">
        <f>VLOOKUP(K11,[1]KABID!$A$2:$B$3,2,FALSE)</f>
        <v>SIMEULUE</v>
      </c>
      <c r="M11" s="24">
        <f t="shared" si="3"/>
        <v>1101030</v>
      </c>
      <c r="N11" s="24" t="str">
        <f>VLOOKUP(M11,[1]CAMID!$A$2:$B$7,2,FALSE)</f>
        <v xml:space="preserve"> SIMEULUE TENGAH</v>
      </c>
      <c r="O11" s="24">
        <f t="shared" si="4"/>
        <v>1101030024</v>
      </c>
      <c r="P11" s="24" t="str">
        <f>VLOOKUP(O11,[1]DESAID!$A$2:$B$113,2,FALSE)</f>
        <v xml:space="preserve"> SEBBE</v>
      </c>
      <c r="Q11" s="25">
        <f t="shared" si="5"/>
        <v>396</v>
      </c>
    </row>
    <row r="12" spans="1:17" x14ac:dyDescent="0.25">
      <c r="A12" s="24">
        <v>11</v>
      </c>
      <c r="B12" s="26">
        <v>11</v>
      </c>
      <c r="C12" s="26">
        <v>1101</v>
      </c>
      <c r="D12" s="26">
        <v>1101010</v>
      </c>
      <c r="E12" s="26">
        <v>1101010011</v>
      </c>
      <c r="F12" s="25">
        <v>568</v>
      </c>
      <c r="G12" s="24">
        <f t="shared" ca="1" si="0"/>
        <v>47</v>
      </c>
      <c r="H12">
        <v>45</v>
      </c>
      <c r="I12" s="24">
        <f t="shared" si="1"/>
        <v>11</v>
      </c>
      <c r="J12" s="24" t="str">
        <f>VLOOKUP(I12,[1]PROVID!$A$2:$B$2,2,FALSE)</f>
        <v>ACEH</v>
      </c>
      <c r="K12" s="24">
        <f t="shared" si="2"/>
        <v>1101</v>
      </c>
      <c r="L12" s="24" t="str">
        <f>VLOOKUP(K12,[1]KABID!$A$2:$B$3,2,FALSE)</f>
        <v>SIMEULUE</v>
      </c>
      <c r="M12" s="24">
        <f t="shared" si="3"/>
        <v>1101020</v>
      </c>
      <c r="N12" s="24" t="str">
        <f>VLOOKUP(M12,[1]CAMID!$A$2:$B$7,2,FALSE)</f>
        <v xml:space="preserve"> SIMEULUE TIMUR</v>
      </c>
      <c r="O12" s="24">
        <f t="shared" si="4"/>
        <v>1101020037</v>
      </c>
      <c r="P12" s="24" t="str">
        <f>VLOOKUP(O12,[1]DESAID!$A$2:$B$113,2,FALSE)</f>
        <v xml:space="preserve"> PULAU SIUMAT</v>
      </c>
      <c r="Q12" s="25">
        <f t="shared" si="5"/>
        <v>568</v>
      </c>
    </row>
    <row r="13" spans="1:17" x14ac:dyDescent="0.25">
      <c r="A13" s="24">
        <v>12</v>
      </c>
      <c r="B13" s="26">
        <v>11</v>
      </c>
      <c r="C13" s="26">
        <v>1101</v>
      </c>
      <c r="D13" s="26">
        <v>1101010</v>
      </c>
      <c r="E13" s="26">
        <v>1101010012</v>
      </c>
      <c r="F13" s="25">
        <v>1127</v>
      </c>
      <c r="G13" s="24">
        <f t="shared" ca="1" si="0"/>
        <v>67</v>
      </c>
      <c r="H13">
        <v>40</v>
      </c>
      <c r="I13" s="24">
        <f t="shared" si="1"/>
        <v>11</v>
      </c>
      <c r="J13" s="24" t="str">
        <f>VLOOKUP(I13,[1]PROVID!$A$2:$B$2,2,FALSE)</f>
        <v>ACEH</v>
      </c>
      <c r="K13" s="24">
        <f t="shared" si="2"/>
        <v>1101</v>
      </c>
      <c r="L13" s="24" t="str">
        <f>VLOOKUP(K13,[1]KABID!$A$2:$B$3,2,FALSE)</f>
        <v>SIMEULUE</v>
      </c>
      <c r="M13" s="24">
        <f t="shared" si="3"/>
        <v>1101020</v>
      </c>
      <c r="N13" s="24" t="str">
        <f>VLOOKUP(M13,[1]CAMID!$A$2:$B$7,2,FALSE)</f>
        <v xml:space="preserve"> SIMEULUE TIMUR</v>
      </c>
      <c r="O13" s="24">
        <f t="shared" si="4"/>
        <v>1101020032</v>
      </c>
      <c r="P13" s="24" t="str">
        <f>VLOOKUP(O13,[1]DESAID!$A$2:$B$113,2,FALSE)</f>
        <v xml:space="preserve"> KOTA BATU</v>
      </c>
      <c r="Q13" s="25">
        <f t="shared" si="5"/>
        <v>1127</v>
      </c>
    </row>
    <row r="14" spans="1:17" x14ac:dyDescent="0.25">
      <c r="A14" s="24">
        <v>13</v>
      </c>
      <c r="B14" s="26">
        <v>11</v>
      </c>
      <c r="C14" s="26">
        <v>1101</v>
      </c>
      <c r="D14" s="26">
        <v>1101010</v>
      </c>
      <c r="E14" s="26">
        <v>1101010013</v>
      </c>
      <c r="F14" s="25">
        <v>359</v>
      </c>
      <c r="G14" s="24">
        <f t="shared" ca="1" si="0"/>
        <v>64</v>
      </c>
      <c r="H14">
        <v>26</v>
      </c>
      <c r="I14" s="24">
        <f t="shared" si="1"/>
        <v>11</v>
      </c>
      <c r="J14" s="24" t="str">
        <f>VLOOKUP(I14,[1]PROVID!$A$2:$B$2,2,FALSE)</f>
        <v>ACEH</v>
      </c>
      <c r="K14" s="24">
        <f t="shared" si="2"/>
        <v>1101</v>
      </c>
      <c r="L14" s="24" t="str">
        <f>VLOOKUP(K14,[1]KABID!$A$2:$B$3,2,FALSE)</f>
        <v>SIMEULUE</v>
      </c>
      <c r="M14" s="24">
        <f t="shared" si="3"/>
        <v>1101020</v>
      </c>
      <c r="N14" s="24" t="str">
        <f>VLOOKUP(M14,[1]CAMID!$A$2:$B$7,2,FALSE)</f>
        <v xml:space="preserve"> SIMEULUE TIMUR</v>
      </c>
      <c r="O14" s="24">
        <f t="shared" si="4"/>
        <v>1101020007</v>
      </c>
      <c r="P14" s="24" t="str">
        <f>VLOOKUP(O14,[1]DESAID!$A$2:$B$113,2,FALSE)</f>
        <v xml:space="preserve"> LABUAH</v>
      </c>
      <c r="Q14" s="25">
        <f t="shared" si="5"/>
        <v>359</v>
      </c>
    </row>
    <row r="15" spans="1:17" x14ac:dyDescent="0.25">
      <c r="A15" s="24">
        <v>14</v>
      </c>
      <c r="B15" s="26">
        <v>11</v>
      </c>
      <c r="C15" s="26">
        <v>1101</v>
      </c>
      <c r="D15" s="26">
        <v>1101010</v>
      </c>
      <c r="E15" s="26">
        <v>1101010014</v>
      </c>
      <c r="F15" s="25">
        <v>627</v>
      </c>
      <c r="G15" s="24">
        <f t="shared" ca="1" si="0"/>
        <v>43</v>
      </c>
      <c r="H15">
        <v>93</v>
      </c>
      <c r="I15" s="24">
        <f t="shared" si="1"/>
        <v>11</v>
      </c>
      <c r="J15" s="24" t="str">
        <f>VLOOKUP(I15,[1]PROVID!$A$2:$B$2,2,FALSE)</f>
        <v>ACEH</v>
      </c>
      <c r="K15" s="24">
        <f t="shared" si="2"/>
        <v>1101</v>
      </c>
      <c r="L15" s="24" t="str">
        <f>VLOOKUP(K15,[1]KABID!$A$2:$B$3,2,FALSE)</f>
        <v>SIMEULUE</v>
      </c>
      <c r="M15" s="24">
        <f t="shared" si="3"/>
        <v>1101031</v>
      </c>
      <c r="N15" s="24" t="str">
        <f>VLOOKUP(M15,[1]CAMID!$A$2:$B$7,2,FALSE)</f>
        <v xml:space="preserve"> TELUK DALAM</v>
      </c>
      <c r="O15" s="24">
        <f t="shared" si="4"/>
        <v>1101031003</v>
      </c>
      <c r="P15" s="24" t="str">
        <f>VLOOKUP(O15,[1]DESAID!$A$2:$B$113,2,FALSE)</f>
        <v xml:space="preserve"> GUNUNG PUTIH</v>
      </c>
      <c r="Q15" s="25">
        <f t="shared" si="5"/>
        <v>627</v>
      </c>
    </row>
    <row r="16" spans="1:17" x14ac:dyDescent="0.25">
      <c r="A16" s="24">
        <v>15</v>
      </c>
      <c r="B16" s="26">
        <v>11</v>
      </c>
      <c r="C16" s="26">
        <v>1101</v>
      </c>
      <c r="D16" s="26">
        <v>1101010</v>
      </c>
      <c r="E16" s="26">
        <v>1101010015</v>
      </c>
      <c r="F16" s="25">
        <v>490</v>
      </c>
      <c r="G16" s="24">
        <f t="shared" ca="1" si="0"/>
        <v>92</v>
      </c>
      <c r="H16">
        <v>21</v>
      </c>
      <c r="I16" s="24">
        <f t="shared" si="1"/>
        <v>11</v>
      </c>
      <c r="J16" s="24" t="str">
        <f>VLOOKUP(I16,[1]PROVID!$A$2:$B$2,2,FALSE)</f>
        <v>ACEH</v>
      </c>
      <c r="K16" s="24">
        <f t="shared" si="2"/>
        <v>1101</v>
      </c>
      <c r="L16" s="24" t="str">
        <f>VLOOKUP(K16,[1]KABID!$A$2:$B$3,2,FALSE)</f>
        <v>SIMEULUE</v>
      </c>
      <c r="M16" s="24">
        <f t="shared" si="3"/>
        <v>1101020</v>
      </c>
      <c r="N16" s="24" t="str">
        <f>VLOOKUP(M16,[1]CAMID!$A$2:$B$7,2,FALSE)</f>
        <v xml:space="preserve"> SIMEULUE TIMUR</v>
      </c>
      <c r="O16" s="24">
        <f t="shared" si="4"/>
        <v>1101020002</v>
      </c>
      <c r="P16" s="24" t="str">
        <f>VLOOKUP(O16,[1]DESAID!$A$2:$B$113,2,FALSE)</f>
        <v xml:space="preserve"> LASIKIN</v>
      </c>
      <c r="Q16" s="25">
        <f t="shared" si="5"/>
        <v>490</v>
      </c>
    </row>
    <row r="17" spans="1:17" x14ac:dyDescent="0.25">
      <c r="A17" s="24">
        <v>16</v>
      </c>
      <c r="B17" s="26">
        <v>11</v>
      </c>
      <c r="C17" s="26">
        <v>1101</v>
      </c>
      <c r="D17" s="26">
        <v>1101010</v>
      </c>
      <c r="E17" s="26">
        <v>1101010016</v>
      </c>
      <c r="F17" s="25">
        <v>594</v>
      </c>
      <c r="G17" s="24">
        <f t="shared" ca="1" si="0"/>
        <v>75</v>
      </c>
      <c r="H17">
        <v>18</v>
      </c>
      <c r="I17" s="24">
        <f t="shared" si="1"/>
        <v>11</v>
      </c>
      <c r="J17" s="24" t="str">
        <f>VLOOKUP(I17,[1]PROVID!$A$2:$B$2,2,FALSE)</f>
        <v>ACEH</v>
      </c>
      <c r="K17" s="24">
        <f t="shared" si="2"/>
        <v>1101</v>
      </c>
      <c r="L17" s="24" t="str">
        <f>VLOOKUP(K17,[1]KABID!$A$2:$B$3,2,FALSE)</f>
        <v>SIMEULUE</v>
      </c>
      <c r="M17" s="24">
        <f t="shared" si="3"/>
        <v>1101010</v>
      </c>
      <c r="N17" s="24" t="str">
        <f>VLOOKUP(M17,[1]CAMID!$A$2:$B$7,2,FALSE)</f>
        <v xml:space="preserve"> TEUPAH SELATAN</v>
      </c>
      <c r="O17" s="24">
        <f t="shared" si="4"/>
        <v>1101010018</v>
      </c>
      <c r="P17" s="24" t="str">
        <f>VLOOKUP(O17,[1]DESAID!$A$2:$B$113,2,FALSE)</f>
        <v xml:space="preserve"> TRANS MERANTI</v>
      </c>
      <c r="Q17" s="25">
        <f t="shared" si="5"/>
        <v>594</v>
      </c>
    </row>
    <row r="18" spans="1:17" x14ac:dyDescent="0.25">
      <c r="A18" s="24">
        <v>17</v>
      </c>
      <c r="B18" s="26">
        <v>11</v>
      </c>
      <c r="C18" s="26">
        <v>1101</v>
      </c>
      <c r="D18" s="26">
        <v>1101010</v>
      </c>
      <c r="E18" s="26">
        <v>1101010017</v>
      </c>
      <c r="F18" s="25">
        <v>218</v>
      </c>
      <c r="G18" s="24">
        <f t="shared" ca="1" si="0"/>
        <v>51</v>
      </c>
      <c r="H18">
        <v>36</v>
      </c>
      <c r="I18" s="24">
        <f t="shared" si="1"/>
        <v>11</v>
      </c>
      <c r="J18" s="24" t="str">
        <f>VLOOKUP(I18,[1]PROVID!$A$2:$B$2,2,FALSE)</f>
        <v>ACEH</v>
      </c>
      <c r="K18" s="24">
        <f t="shared" si="2"/>
        <v>1101</v>
      </c>
      <c r="L18" s="24" t="str">
        <f>VLOOKUP(K18,[1]KABID!$A$2:$B$3,2,FALSE)</f>
        <v>SIMEULUE</v>
      </c>
      <c r="M18" s="24">
        <f t="shared" si="3"/>
        <v>1101020</v>
      </c>
      <c r="N18" s="24" t="str">
        <f>VLOOKUP(M18,[1]CAMID!$A$2:$B$7,2,FALSE)</f>
        <v xml:space="preserve"> SIMEULUE TIMUR</v>
      </c>
      <c r="O18" s="24">
        <f t="shared" si="4"/>
        <v>1101020028</v>
      </c>
      <c r="P18" s="24" t="str">
        <f>VLOOKUP(O18,[1]DESAID!$A$2:$B$113,2,FALSE)</f>
        <v xml:space="preserve"> SUKA MAJU</v>
      </c>
      <c r="Q18" s="25">
        <f t="shared" si="5"/>
        <v>218</v>
      </c>
    </row>
    <row r="19" spans="1:17" x14ac:dyDescent="0.25">
      <c r="A19" s="24">
        <v>18</v>
      </c>
      <c r="B19" s="26">
        <v>11</v>
      </c>
      <c r="C19" s="26">
        <v>1101</v>
      </c>
      <c r="D19" s="26">
        <v>1101010</v>
      </c>
      <c r="E19" s="26">
        <v>1101010018</v>
      </c>
      <c r="F19" s="25">
        <v>377</v>
      </c>
      <c r="G19" s="24">
        <f t="shared" ca="1" si="0"/>
        <v>112</v>
      </c>
      <c r="H19">
        <v>79</v>
      </c>
      <c r="I19" s="24">
        <f t="shared" si="1"/>
        <v>11</v>
      </c>
      <c r="J19" s="24" t="str">
        <f>VLOOKUP(I19,[1]PROVID!$A$2:$B$2,2,FALSE)</f>
        <v>ACEH</v>
      </c>
      <c r="K19" s="24">
        <f t="shared" si="2"/>
        <v>1101</v>
      </c>
      <c r="L19" s="24" t="str">
        <f>VLOOKUP(K19,[1]KABID!$A$2:$B$3,2,FALSE)</f>
        <v>SIMEULUE</v>
      </c>
      <c r="M19" s="24">
        <f t="shared" si="3"/>
        <v>1101030</v>
      </c>
      <c r="N19" s="24" t="str">
        <f>VLOOKUP(M19,[1]CAMID!$A$2:$B$7,2,FALSE)</f>
        <v xml:space="preserve"> SIMEULUE TENGAH</v>
      </c>
      <c r="O19" s="24">
        <f t="shared" si="4"/>
        <v>1101030013</v>
      </c>
      <c r="P19" s="24" t="str">
        <f>VLOOKUP(O19,[1]DESAID!$A$2:$B$113,2,FALSE)</f>
        <v xml:space="preserve"> KUTA PADANG</v>
      </c>
      <c r="Q19" s="25">
        <f t="shared" si="5"/>
        <v>377</v>
      </c>
    </row>
    <row r="20" spans="1:17" x14ac:dyDescent="0.25">
      <c r="A20" s="24">
        <v>19</v>
      </c>
      <c r="B20" s="26">
        <v>11</v>
      </c>
      <c r="C20" s="26">
        <v>1101</v>
      </c>
      <c r="D20" s="26">
        <v>1101010</v>
      </c>
      <c r="E20" s="26">
        <v>1101010019</v>
      </c>
      <c r="F20" s="25">
        <v>303</v>
      </c>
      <c r="G20" s="24">
        <f t="shared" ca="1" si="0"/>
        <v>56</v>
      </c>
      <c r="H20">
        <v>108</v>
      </c>
      <c r="I20" s="24">
        <f t="shared" si="1"/>
        <v>11</v>
      </c>
      <c r="J20" s="24" t="str">
        <f>VLOOKUP(I20,[1]PROVID!$A$2:$B$2,2,FALSE)</f>
        <v>ACEH</v>
      </c>
      <c r="K20" s="24">
        <f t="shared" si="2"/>
        <v>1101</v>
      </c>
      <c r="L20" s="24" t="str">
        <f>VLOOKUP(K20,[1]KABID!$A$2:$B$3,2,FALSE)</f>
        <v>SIMEULUE</v>
      </c>
      <c r="M20" s="24">
        <f t="shared" si="3"/>
        <v>1101040</v>
      </c>
      <c r="N20" s="24" t="str">
        <f>VLOOKUP(M20,[1]CAMID!$A$2:$B$7,2,FALSE)</f>
        <v xml:space="preserve"> SALANG</v>
      </c>
      <c r="O20" s="24">
        <f t="shared" si="4"/>
        <v>1101040008</v>
      </c>
      <c r="P20" s="24" t="str">
        <f>VLOOKUP(O20,[1]DESAID!$A$2:$B$113,2,FALSE)</f>
        <v xml:space="preserve"> KARYA BAKTI</v>
      </c>
      <c r="Q20" s="25">
        <f t="shared" si="5"/>
        <v>303</v>
      </c>
    </row>
    <row r="21" spans="1:17" x14ac:dyDescent="0.25">
      <c r="A21" s="24">
        <v>20</v>
      </c>
      <c r="B21" s="26">
        <v>11</v>
      </c>
      <c r="C21" s="26">
        <v>1101</v>
      </c>
      <c r="D21" s="26">
        <v>1101020</v>
      </c>
      <c r="E21" s="26">
        <v>1101020001</v>
      </c>
      <c r="F21" s="25">
        <v>499</v>
      </c>
      <c r="G21" s="24">
        <f t="shared" ca="1" si="0"/>
        <v>2</v>
      </c>
      <c r="H21">
        <v>80</v>
      </c>
      <c r="I21" s="24">
        <f t="shared" si="1"/>
        <v>11</v>
      </c>
      <c r="J21" s="24" t="str">
        <f>VLOOKUP(I21,[1]PROVID!$A$2:$B$2,2,FALSE)</f>
        <v>ACEH</v>
      </c>
      <c r="K21" s="24">
        <f t="shared" si="2"/>
        <v>1101</v>
      </c>
      <c r="L21" s="24" t="str">
        <f>VLOOKUP(K21,[1]KABID!$A$2:$B$3,2,FALSE)</f>
        <v>SIMEULUE</v>
      </c>
      <c r="M21" s="24">
        <f t="shared" si="3"/>
        <v>1101030</v>
      </c>
      <c r="N21" s="24" t="str">
        <f>VLOOKUP(M21,[1]CAMID!$A$2:$B$7,2,FALSE)</f>
        <v xml:space="preserve"> SIMEULUE TENGAH</v>
      </c>
      <c r="O21" s="24">
        <f t="shared" si="4"/>
        <v>1101030014</v>
      </c>
      <c r="P21" s="24" t="str">
        <f>VLOOKUP(O21,[1]DESAID!$A$2:$B$113,2,FALSE)</f>
        <v xml:space="preserve"> LATAK AYAH</v>
      </c>
      <c r="Q21" s="25">
        <f t="shared" si="5"/>
        <v>499</v>
      </c>
    </row>
    <row r="22" spans="1:17" x14ac:dyDescent="0.25">
      <c r="A22" s="24">
        <v>21</v>
      </c>
      <c r="B22" s="26">
        <v>11</v>
      </c>
      <c r="C22" s="26">
        <v>1101</v>
      </c>
      <c r="D22" s="26">
        <v>1101020</v>
      </c>
      <c r="E22" s="26">
        <v>1101020002</v>
      </c>
      <c r="F22" s="25">
        <v>899</v>
      </c>
      <c r="G22" s="24">
        <f t="shared" ca="1" si="0"/>
        <v>61</v>
      </c>
      <c r="H22">
        <v>96</v>
      </c>
      <c r="I22" s="24">
        <f t="shared" si="1"/>
        <v>11</v>
      </c>
      <c r="J22" s="24" t="str">
        <f>VLOOKUP(I22,[1]PROVID!$A$2:$B$2,2,FALSE)</f>
        <v>ACEH</v>
      </c>
      <c r="K22" s="24">
        <f t="shared" si="2"/>
        <v>1101</v>
      </c>
      <c r="L22" s="24" t="str">
        <f>VLOOKUP(K22,[1]KABID!$A$2:$B$3,2,FALSE)</f>
        <v>SIMEULUE</v>
      </c>
      <c r="M22" s="24">
        <f t="shared" si="3"/>
        <v>1101031</v>
      </c>
      <c r="N22" s="24" t="str">
        <f>VLOOKUP(M22,[1]CAMID!$A$2:$B$7,2,FALSE)</f>
        <v xml:space="preserve"> TELUK DALAM</v>
      </c>
      <c r="O22" s="24">
        <f t="shared" si="4"/>
        <v>1101031006</v>
      </c>
      <c r="P22" s="24" t="str">
        <f>VLOOKUP(O22,[1]DESAID!$A$2:$B$113,2,FALSE)</f>
        <v xml:space="preserve"> LUAN BALU</v>
      </c>
      <c r="Q22" s="25">
        <f t="shared" si="5"/>
        <v>899</v>
      </c>
    </row>
    <row r="23" spans="1:17" x14ac:dyDescent="0.25">
      <c r="A23" s="24">
        <v>22</v>
      </c>
      <c r="B23" s="26">
        <v>11</v>
      </c>
      <c r="C23" s="26">
        <v>1101</v>
      </c>
      <c r="D23" s="26">
        <v>1101020</v>
      </c>
      <c r="E23" s="26">
        <v>1101020003</v>
      </c>
      <c r="F23" s="25">
        <v>400</v>
      </c>
      <c r="G23" s="24">
        <f t="shared" ca="1" si="0"/>
        <v>49</v>
      </c>
      <c r="H23">
        <v>108</v>
      </c>
      <c r="I23" s="24">
        <f t="shared" si="1"/>
        <v>11</v>
      </c>
      <c r="J23" s="24" t="str">
        <f>VLOOKUP(I23,[1]PROVID!$A$2:$B$2,2,FALSE)</f>
        <v>ACEH</v>
      </c>
      <c r="K23" s="24">
        <f t="shared" si="2"/>
        <v>1101</v>
      </c>
      <c r="L23" s="24" t="str">
        <f>VLOOKUP(K23,[1]KABID!$A$2:$B$3,2,FALSE)</f>
        <v>SIMEULUE</v>
      </c>
      <c r="M23" s="24">
        <f t="shared" si="3"/>
        <v>1101040</v>
      </c>
      <c r="N23" s="24" t="str">
        <f>VLOOKUP(M23,[1]CAMID!$A$2:$B$7,2,FALSE)</f>
        <v xml:space="preserve"> SALANG</v>
      </c>
      <c r="O23" s="24">
        <f t="shared" si="4"/>
        <v>1101040008</v>
      </c>
      <c r="P23" s="24" t="str">
        <f>VLOOKUP(O23,[1]DESAID!$A$2:$B$113,2,FALSE)</f>
        <v xml:space="preserve"> KARYA BAKTI</v>
      </c>
      <c r="Q23" s="25">
        <f t="shared" si="5"/>
        <v>400</v>
      </c>
    </row>
    <row r="24" spans="1:17" x14ac:dyDescent="0.25">
      <c r="A24" s="24">
        <v>23</v>
      </c>
      <c r="B24" s="26">
        <v>11</v>
      </c>
      <c r="C24" s="26">
        <v>1101</v>
      </c>
      <c r="D24" s="26">
        <v>1101020</v>
      </c>
      <c r="E24" s="26">
        <v>1101020004</v>
      </c>
      <c r="F24" s="25">
        <v>334</v>
      </c>
      <c r="G24" s="24">
        <f t="shared" ca="1" si="0"/>
        <v>36</v>
      </c>
      <c r="H24">
        <v>41</v>
      </c>
      <c r="I24" s="24">
        <f t="shared" si="1"/>
        <v>11</v>
      </c>
      <c r="J24" s="24" t="str">
        <f>VLOOKUP(I24,[1]PROVID!$A$2:$B$2,2,FALSE)</f>
        <v>ACEH</v>
      </c>
      <c r="K24" s="24">
        <f t="shared" si="2"/>
        <v>1101</v>
      </c>
      <c r="L24" s="24" t="str">
        <f>VLOOKUP(K24,[1]KABID!$A$2:$B$3,2,FALSE)</f>
        <v>SIMEULUE</v>
      </c>
      <c r="M24" s="24">
        <f t="shared" si="3"/>
        <v>1101020</v>
      </c>
      <c r="N24" s="24" t="str">
        <f>VLOOKUP(M24,[1]CAMID!$A$2:$B$7,2,FALSE)</f>
        <v xml:space="preserve"> SIMEULUE TIMUR</v>
      </c>
      <c r="O24" s="24">
        <f t="shared" si="4"/>
        <v>1101020033</v>
      </c>
      <c r="P24" s="24" t="str">
        <f>VLOOKUP(O24,[1]DESAID!$A$2:$B$113,2,FALSE)</f>
        <v xml:space="preserve"> BUSUNG INDAH</v>
      </c>
      <c r="Q24" s="25">
        <f t="shared" si="5"/>
        <v>334</v>
      </c>
    </row>
    <row r="25" spans="1:17" x14ac:dyDescent="0.25">
      <c r="A25" s="24">
        <v>24</v>
      </c>
      <c r="B25" s="26">
        <v>11</v>
      </c>
      <c r="C25" s="26">
        <v>1101</v>
      </c>
      <c r="D25" s="26">
        <v>1101020</v>
      </c>
      <c r="E25" s="26">
        <v>1101020005</v>
      </c>
      <c r="F25" s="25">
        <v>324</v>
      </c>
      <c r="G25" s="24">
        <f t="shared" ca="1" si="0"/>
        <v>93</v>
      </c>
      <c r="H25">
        <v>22</v>
      </c>
      <c r="I25" s="24">
        <f t="shared" si="1"/>
        <v>11</v>
      </c>
      <c r="J25" s="24" t="str">
        <f>VLOOKUP(I25,[1]PROVID!$A$2:$B$2,2,FALSE)</f>
        <v>ACEH</v>
      </c>
      <c r="K25" s="24">
        <f t="shared" si="2"/>
        <v>1101</v>
      </c>
      <c r="L25" s="24" t="str">
        <f>VLOOKUP(K25,[1]KABID!$A$2:$B$3,2,FALSE)</f>
        <v>SIMEULUE</v>
      </c>
      <c r="M25" s="24">
        <f t="shared" si="3"/>
        <v>1101020</v>
      </c>
      <c r="N25" s="24" t="str">
        <f>VLOOKUP(M25,[1]CAMID!$A$2:$B$7,2,FALSE)</f>
        <v xml:space="preserve"> SIMEULUE TIMUR</v>
      </c>
      <c r="O25" s="24">
        <f t="shared" si="4"/>
        <v>1101020003</v>
      </c>
      <c r="P25" s="24" t="str">
        <f>VLOOKUP(O25,[1]DESAID!$A$2:$B$113,2,FALSE)</f>
        <v xml:space="preserve"> LANTING</v>
      </c>
      <c r="Q25" s="25">
        <f t="shared" si="5"/>
        <v>324</v>
      </c>
    </row>
    <row r="26" spans="1:17" x14ac:dyDescent="0.25">
      <c r="A26" s="24">
        <v>25</v>
      </c>
      <c r="B26" s="26">
        <v>11</v>
      </c>
      <c r="C26" s="26">
        <v>1101</v>
      </c>
      <c r="D26" s="26">
        <v>1101020</v>
      </c>
      <c r="E26" s="26">
        <v>1101020006</v>
      </c>
      <c r="F26" s="25">
        <v>275</v>
      </c>
      <c r="G26" s="24">
        <f t="shared" ca="1" si="0"/>
        <v>101</v>
      </c>
      <c r="H26">
        <v>72</v>
      </c>
      <c r="I26" s="24">
        <f t="shared" si="1"/>
        <v>11</v>
      </c>
      <c r="J26" s="24" t="str">
        <f>VLOOKUP(I26,[1]PROVID!$A$2:$B$2,2,FALSE)</f>
        <v>ACEH</v>
      </c>
      <c r="K26" s="24">
        <f t="shared" si="2"/>
        <v>1101</v>
      </c>
      <c r="L26" s="24" t="str">
        <f>VLOOKUP(K26,[1]KABID!$A$2:$B$3,2,FALSE)</f>
        <v>SIMEULUE</v>
      </c>
      <c r="M26" s="24">
        <f t="shared" si="3"/>
        <v>1101030</v>
      </c>
      <c r="N26" s="24" t="str">
        <f>VLOOKUP(M26,[1]CAMID!$A$2:$B$7,2,FALSE)</f>
        <v xml:space="preserve"> SIMEULUE TENGAH</v>
      </c>
      <c r="O26" s="24">
        <f t="shared" si="4"/>
        <v>1101030006</v>
      </c>
      <c r="P26" s="24" t="str">
        <f>VLOOKUP(O26,[1]DESAID!$A$2:$B$113,2,FALSE)</f>
        <v xml:space="preserve"> LAUREE</v>
      </c>
      <c r="Q26" s="25">
        <f t="shared" si="5"/>
        <v>275</v>
      </c>
    </row>
    <row r="27" spans="1:17" x14ac:dyDescent="0.25">
      <c r="A27" s="24">
        <v>26</v>
      </c>
      <c r="B27" s="26">
        <v>11</v>
      </c>
      <c r="C27" s="26">
        <v>1101</v>
      </c>
      <c r="D27" s="26">
        <v>1101020</v>
      </c>
      <c r="E27" s="26">
        <v>1101020007</v>
      </c>
      <c r="F27" s="25">
        <v>452</v>
      </c>
      <c r="G27" s="24">
        <f t="shared" ca="1" si="0"/>
        <v>18</v>
      </c>
      <c r="H27">
        <v>80</v>
      </c>
      <c r="I27" s="24">
        <f t="shared" si="1"/>
        <v>11</v>
      </c>
      <c r="J27" s="24" t="str">
        <f>VLOOKUP(I27,[1]PROVID!$A$2:$B$2,2,FALSE)</f>
        <v>ACEH</v>
      </c>
      <c r="K27" s="24">
        <f t="shared" si="2"/>
        <v>1101</v>
      </c>
      <c r="L27" s="24" t="str">
        <f>VLOOKUP(K27,[1]KABID!$A$2:$B$3,2,FALSE)</f>
        <v>SIMEULUE</v>
      </c>
      <c r="M27" s="24">
        <f t="shared" si="3"/>
        <v>1101030</v>
      </c>
      <c r="N27" s="24" t="str">
        <f>VLOOKUP(M27,[1]CAMID!$A$2:$B$7,2,FALSE)</f>
        <v xml:space="preserve"> SIMEULUE TENGAH</v>
      </c>
      <c r="O27" s="24">
        <f t="shared" si="4"/>
        <v>1101030014</v>
      </c>
      <c r="P27" s="24" t="str">
        <f>VLOOKUP(O27,[1]DESAID!$A$2:$B$113,2,FALSE)</f>
        <v xml:space="preserve"> LATAK AYAH</v>
      </c>
      <c r="Q27" s="25">
        <f t="shared" si="5"/>
        <v>452</v>
      </c>
    </row>
    <row r="28" spans="1:17" x14ac:dyDescent="0.25">
      <c r="A28" s="24">
        <v>27</v>
      </c>
      <c r="B28" s="26">
        <v>11</v>
      </c>
      <c r="C28" s="26">
        <v>1101</v>
      </c>
      <c r="D28" s="26">
        <v>1101020</v>
      </c>
      <c r="E28" s="26">
        <v>1101020008</v>
      </c>
      <c r="F28" s="25">
        <v>655</v>
      </c>
      <c r="G28" s="24">
        <f t="shared" ca="1" si="0"/>
        <v>30</v>
      </c>
      <c r="H28">
        <v>76</v>
      </c>
      <c r="I28" s="24">
        <f t="shared" si="1"/>
        <v>11</v>
      </c>
      <c r="J28" s="24" t="str">
        <f>VLOOKUP(I28,[1]PROVID!$A$2:$B$2,2,FALSE)</f>
        <v>ACEH</v>
      </c>
      <c r="K28" s="24">
        <f t="shared" si="2"/>
        <v>1101</v>
      </c>
      <c r="L28" s="24" t="str">
        <f>VLOOKUP(K28,[1]KABID!$A$2:$B$3,2,FALSE)</f>
        <v>SIMEULUE</v>
      </c>
      <c r="M28" s="24">
        <f t="shared" si="3"/>
        <v>1101030</v>
      </c>
      <c r="N28" s="24" t="str">
        <f>VLOOKUP(M28,[1]CAMID!$A$2:$B$7,2,FALSE)</f>
        <v xml:space="preserve"> SIMEULUE TENGAH</v>
      </c>
      <c r="O28" s="24">
        <f t="shared" si="4"/>
        <v>1101030010</v>
      </c>
      <c r="P28" s="24" t="str">
        <f>VLOOKUP(O28,[1]DESAID!$A$2:$B$113,2,FALSE)</f>
        <v xml:space="preserve"> BUBUHAN</v>
      </c>
      <c r="Q28" s="25">
        <f t="shared" si="5"/>
        <v>655</v>
      </c>
    </row>
    <row r="29" spans="1:17" x14ac:dyDescent="0.25">
      <c r="A29" s="24">
        <v>28</v>
      </c>
      <c r="B29" s="26">
        <v>11</v>
      </c>
      <c r="C29" s="26">
        <v>1101</v>
      </c>
      <c r="D29" s="26">
        <v>1101020</v>
      </c>
      <c r="E29" s="26">
        <v>1101020009</v>
      </c>
      <c r="F29" s="25">
        <v>609</v>
      </c>
      <c r="G29" s="24">
        <f t="shared" ca="1" si="0"/>
        <v>75</v>
      </c>
      <c r="H29">
        <v>4</v>
      </c>
      <c r="I29" s="24">
        <f t="shared" si="1"/>
        <v>11</v>
      </c>
      <c r="J29" s="24" t="str">
        <f>VLOOKUP(I29,[1]PROVID!$A$2:$B$2,2,FALSE)</f>
        <v>ACEH</v>
      </c>
      <c r="K29" s="24">
        <f t="shared" si="2"/>
        <v>1101</v>
      </c>
      <c r="L29" s="24" t="str">
        <f>VLOOKUP(K29,[1]KABID!$A$2:$B$3,2,FALSE)</f>
        <v>SIMEULUE</v>
      </c>
      <c r="M29" s="24">
        <f t="shared" si="3"/>
        <v>1101010</v>
      </c>
      <c r="N29" s="24" t="str">
        <f>VLOOKUP(M29,[1]CAMID!$A$2:$B$7,2,FALSE)</f>
        <v xml:space="preserve"> TEUPAH SELATAN</v>
      </c>
      <c r="O29" s="24">
        <f t="shared" si="4"/>
        <v>1101010004</v>
      </c>
      <c r="P29" s="24" t="str">
        <f>VLOOKUP(O29,[1]DESAID!$A$2:$B$113,2,FALSE)</f>
        <v xml:space="preserve"> ANA AO</v>
      </c>
      <c r="Q29" s="25">
        <f t="shared" si="5"/>
        <v>609</v>
      </c>
    </row>
    <row r="30" spans="1:17" x14ac:dyDescent="0.25">
      <c r="A30" s="24">
        <v>29</v>
      </c>
      <c r="B30" s="26">
        <v>11</v>
      </c>
      <c r="C30" s="26">
        <v>1101</v>
      </c>
      <c r="D30" s="26">
        <v>1101020</v>
      </c>
      <c r="E30" s="26">
        <v>1101020010</v>
      </c>
      <c r="F30" s="25">
        <v>225</v>
      </c>
      <c r="G30" s="24">
        <f t="shared" ca="1" si="0"/>
        <v>4</v>
      </c>
      <c r="H30">
        <v>76</v>
      </c>
      <c r="I30" s="24">
        <f t="shared" si="1"/>
        <v>11</v>
      </c>
      <c r="J30" s="24" t="str">
        <f>VLOOKUP(I30,[1]PROVID!$A$2:$B$2,2,FALSE)</f>
        <v>ACEH</v>
      </c>
      <c r="K30" s="24">
        <f t="shared" si="2"/>
        <v>1101</v>
      </c>
      <c r="L30" s="24" t="str">
        <f>VLOOKUP(K30,[1]KABID!$A$2:$B$3,2,FALSE)</f>
        <v>SIMEULUE</v>
      </c>
      <c r="M30" s="24">
        <f t="shared" si="3"/>
        <v>1101030</v>
      </c>
      <c r="N30" s="24" t="str">
        <f>VLOOKUP(M30,[1]CAMID!$A$2:$B$7,2,FALSE)</f>
        <v xml:space="preserve"> SIMEULUE TENGAH</v>
      </c>
      <c r="O30" s="24">
        <f t="shared" si="4"/>
        <v>1101030010</v>
      </c>
      <c r="P30" s="24" t="str">
        <f>VLOOKUP(O30,[1]DESAID!$A$2:$B$113,2,FALSE)</f>
        <v xml:space="preserve"> BUBUHAN</v>
      </c>
      <c r="Q30" s="25">
        <f t="shared" si="5"/>
        <v>225</v>
      </c>
    </row>
    <row r="31" spans="1:17" x14ac:dyDescent="0.25">
      <c r="A31" s="24">
        <v>30</v>
      </c>
      <c r="B31" s="26">
        <v>11</v>
      </c>
      <c r="C31" s="26">
        <v>1101</v>
      </c>
      <c r="D31" s="26">
        <v>1101020</v>
      </c>
      <c r="E31" s="26">
        <v>1101020022</v>
      </c>
      <c r="F31" s="25">
        <v>1089</v>
      </c>
      <c r="G31" s="24">
        <f t="shared" ca="1" si="0"/>
        <v>45</v>
      </c>
      <c r="H31">
        <v>45</v>
      </c>
      <c r="I31" s="24">
        <f t="shared" si="1"/>
        <v>11</v>
      </c>
      <c r="J31" s="24" t="str">
        <f>VLOOKUP(I31,[1]PROVID!$A$2:$B$2,2,FALSE)</f>
        <v>ACEH</v>
      </c>
      <c r="K31" s="24">
        <f t="shared" si="2"/>
        <v>1101</v>
      </c>
      <c r="L31" s="24" t="str">
        <f>VLOOKUP(K31,[1]KABID!$A$2:$B$3,2,FALSE)</f>
        <v>SIMEULUE</v>
      </c>
      <c r="M31" s="24">
        <f t="shared" si="3"/>
        <v>1101020</v>
      </c>
      <c r="N31" s="24" t="str">
        <f>VLOOKUP(M31,[1]CAMID!$A$2:$B$7,2,FALSE)</f>
        <v xml:space="preserve"> SIMEULUE TIMUR</v>
      </c>
      <c r="O31" s="24">
        <f t="shared" si="4"/>
        <v>1101020037</v>
      </c>
      <c r="P31" s="24" t="str">
        <f>VLOOKUP(O31,[1]DESAID!$A$2:$B$113,2,FALSE)</f>
        <v xml:space="preserve"> PULAU SIUMAT</v>
      </c>
      <c r="Q31" s="25">
        <f t="shared" si="5"/>
        <v>1089</v>
      </c>
    </row>
    <row r="32" spans="1:17" x14ac:dyDescent="0.25">
      <c r="A32" s="24">
        <v>31</v>
      </c>
      <c r="B32" s="26">
        <v>11</v>
      </c>
      <c r="C32" s="26">
        <v>1101</v>
      </c>
      <c r="D32" s="26">
        <v>1101020</v>
      </c>
      <c r="E32" s="26">
        <v>1101020023</v>
      </c>
      <c r="F32" s="25">
        <v>1104</v>
      </c>
      <c r="G32" s="24">
        <f t="shared" ca="1" si="0"/>
        <v>53</v>
      </c>
      <c r="I32" s="24">
        <f t="shared" si="1"/>
        <v>11</v>
      </c>
      <c r="J32" s="24" t="str">
        <f>VLOOKUP(I32,[1]PROVID!$A$2:$B$2,2,FALSE)</f>
        <v>ACEH</v>
      </c>
      <c r="Q32" s="25"/>
    </row>
    <row r="33" spans="1:17" x14ac:dyDescent="0.25">
      <c r="A33" s="24">
        <v>32</v>
      </c>
      <c r="B33" s="26">
        <v>11</v>
      </c>
      <c r="C33" s="26">
        <v>1101</v>
      </c>
      <c r="D33" s="26">
        <v>1101020</v>
      </c>
      <c r="E33" s="26">
        <v>1101020024</v>
      </c>
      <c r="F33" s="25">
        <v>1151</v>
      </c>
      <c r="G33" s="24">
        <f t="shared" ca="1" si="0"/>
        <v>96</v>
      </c>
      <c r="I33" s="24">
        <f t="shared" si="1"/>
        <v>11</v>
      </c>
      <c r="J33" s="24" t="str">
        <f>VLOOKUP(I33,[1]PROVID!$A$2:$B$2,2,FALSE)</f>
        <v>ACEH</v>
      </c>
      <c r="Q33" s="25"/>
    </row>
    <row r="34" spans="1:17" x14ac:dyDescent="0.25">
      <c r="A34" s="24">
        <v>33</v>
      </c>
      <c r="B34" s="26">
        <v>11</v>
      </c>
      <c r="C34" s="26">
        <v>1101</v>
      </c>
      <c r="D34" s="26">
        <v>1101020</v>
      </c>
      <c r="E34" s="26">
        <v>1101020025</v>
      </c>
      <c r="F34" s="25">
        <v>636</v>
      </c>
      <c r="G34" s="24">
        <f t="shared" ca="1" si="0"/>
        <v>31</v>
      </c>
      <c r="I34" s="24">
        <f t="shared" si="1"/>
        <v>11</v>
      </c>
      <c r="J34" s="24" t="str">
        <f>VLOOKUP(I34,[1]PROVID!$A$2:$B$2,2,FALSE)</f>
        <v>ACEH</v>
      </c>
      <c r="Q34" s="25"/>
    </row>
    <row r="35" spans="1:17" x14ac:dyDescent="0.25">
      <c r="A35" s="24">
        <v>34</v>
      </c>
      <c r="B35" s="26">
        <v>11</v>
      </c>
      <c r="C35" s="26">
        <v>1101</v>
      </c>
      <c r="D35" s="26">
        <v>1101020</v>
      </c>
      <c r="E35" s="26">
        <v>1101020026</v>
      </c>
      <c r="F35" s="25">
        <v>781</v>
      </c>
      <c r="G35" s="24">
        <f t="shared" ca="1" si="0"/>
        <v>5</v>
      </c>
      <c r="I35" s="24">
        <f t="shared" si="1"/>
        <v>11</v>
      </c>
      <c r="J35" s="24" t="str">
        <f>VLOOKUP(I35,[1]PROVID!$A$2:$B$2,2,FALSE)</f>
        <v>ACEH</v>
      </c>
      <c r="Q35" s="25"/>
    </row>
    <row r="36" spans="1:17" x14ac:dyDescent="0.25">
      <c r="A36" s="24">
        <v>35</v>
      </c>
      <c r="B36" s="26">
        <v>11</v>
      </c>
      <c r="C36" s="26">
        <v>1101</v>
      </c>
      <c r="D36" s="26">
        <v>1101020</v>
      </c>
      <c r="E36" s="26">
        <v>1101020027</v>
      </c>
      <c r="F36" s="25">
        <v>1704</v>
      </c>
      <c r="G36" s="24">
        <f t="shared" ca="1" si="0"/>
        <v>39</v>
      </c>
      <c r="I36" s="24">
        <f t="shared" si="1"/>
        <v>11</v>
      </c>
      <c r="J36" s="24" t="str">
        <f>VLOOKUP(I36,[1]PROVID!$A$2:$B$2,2,FALSE)</f>
        <v>ACEH</v>
      </c>
      <c r="Q36" s="25"/>
    </row>
    <row r="37" spans="1:17" x14ac:dyDescent="0.25">
      <c r="A37" s="24">
        <v>36</v>
      </c>
      <c r="B37" s="26">
        <v>11</v>
      </c>
      <c r="C37" s="26">
        <v>1101</v>
      </c>
      <c r="D37" s="26">
        <v>1101020</v>
      </c>
      <c r="E37" s="26">
        <v>1101020028</v>
      </c>
      <c r="F37" s="25">
        <v>2415</v>
      </c>
      <c r="G37" s="24">
        <f t="shared" ca="1" si="0"/>
        <v>94</v>
      </c>
      <c r="I37" s="24">
        <f t="shared" si="1"/>
        <v>11</v>
      </c>
      <c r="J37" s="24" t="str">
        <f>VLOOKUP(I37,[1]PROVID!$A$2:$B$2,2,FALSE)</f>
        <v>ACEH</v>
      </c>
      <c r="Q37" s="25"/>
    </row>
    <row r="38" spans="1:17" x14ac:dyDescent="0.25">
      <c r="A38" s="24">
        <v>37</v>
      </c>
      <c r="B38" s="26">
        <v>11</v>
      </c>
      <c r="C38" s="26">
        <v>1101</v>
      </c>
      <c r="D38" s="26">
        <v>1101020</v>
      </c>
      <c r="E38" s="26">
        <v>1101020029</v>
      </c>
      <c r="F38" s="25">
        <v>4466</v>
      </c>
      <c r="G38" s="24">
        <f t="shared" ca="1" si="0"/>
        <v>64</v>
      </c>
      <c r="I38" s="24">
        <f t="shared" si="1"/>
        <v>11</v>
      </c>
      <c r="J38" s="24" t="str">
        <f>VLOOKUP(I38,[1]PROVID!$A$2:$B$2,2,FALSE)</f>
        <v>ACEH</v>
      </c>
      <c r="Q38" s="25"/>
    </row>
    <row r="39" spans="1:17" x14ac:dyDescent="0.25">
      <c r="A39" s="24">
        <v>38</v>
      </c>
      <c r="B39" s="26">
        <v>11</v>
      </c>
      <c r="C39" s="26">
        <v>1101</v>
      </c>
      <c r="D39" s="26">
        <v>1101020</v>
      </c>
      <c r="E39" s="26">
        <v>1101020030</v>
      </c>
      <c r="F39" s="25">
        <v>2536</v>
      </c>
      <c r="G39" s="24">
        <f t="shared" ca="1" si="0"/>
        <v>15</v>
      </c>
      <c r="I39" s="24">
        <f t="shared" si="1"/>
        <v>11</v>
      </c>
      <c r="J39" s="24" t="str">
        <f>VLOOKUP(I39,[1]PROVID!$A$2:$B$2,2,FALSE)</f>
        <v>ACEH</v>
      </c>
      <c r="Q39" s="25"/>
    </row>
    <row r="40" spans="1:17" x14ac:dyDescent="0.25">
      <c r="A40" s="24">
        <v>39</v>
      </c>
      <c r="B40" s="26">
        <v>11</v>
      </c>
      <c r="C40" s="26">
        <v>1101</v>
      </c>
      <c r="D40" s="26">
        <v>1101020</v>
      </c>
      <c r="E40" s="26">
        <v>1101020031</v>
      </c>
      <c r="F40" s="25">
        <v>2728</v>
      </c>
      <c r="G40" s="24">
        <f t="shared" ca="1" si="0"/>
        <v>46</v>
      </c>
      <c r="I40" s="24">
        <f t="shared" si="1"/>
        <v>11</v>
      </c>
      <c r="J40" s="24" t="str">
        <f>VLOOKUP(I40,[1]PROVID!$A$2:$B$2,2,FALSE)</f>
        <v>ACEH</v>
      </c>
      <c r="Q40" s="25"/>
    </row>
    <row r="41" spans="1:17" x14ac:dyDescent="0.25">
      <c r="A41" s="24">
        <v>40</v>
      </c>
      <c r="B41" s="26">
        <v>11</v>
      </c>
      <c r="C41" s="26">
        <v>1101</v>
      </c>
      <c r="D41" s="26">
        <v>1101020</v>
      </c>
      <c r="E41" s="26">
        <v>1101020032</v>
      </c>
      <c r="F41" s="25">
        <v>1080</v>
      </c>
      <c r="G41" s="24">
        <f t="shared" ca="1" si="0"/>
        <v>106</v>
      </c>
      <c r="I41" s="24">
        <f t="shared" si="1"/>
        <v>11</v>
      </c>
      <c r="J41" s="24" t="str">
        <f>VLOOKUP(I41,[1]PROVID!$A$2:$B$2,2,FALSE)</f>
        <v>ACEH</v>
      </c>
      <c r="Q41" s="25"/>
    </row>
    <row r="42" spans="1:17" x14ac:dyDescent="0.25">
      <c r="A42" s="24">
        <v>41</v>
      </c>
      <c r="B42" s="26">
        <v>11</v>
      </c>
      <c r="C42" s="26">
        <v>1101</v>
      </c>
      <c r="D42" s="26">
        <v>1101020</v>
      </c>
      <c r="E42" s="26">
        <v>1101020033</v>
      </c>
      <c r="F42" s="25">
        <v>587</v>
      </c>
      <c r="G42" s="24">
        <f t="shared" ca="1" si="0"/>
        <v>101</v>
      </c>
      <c r="I42" s="24">
        <f t="shared" si="1"/>
        <v>11</v>
      </c>
      <c r="J42" s="24" t="str">
        <f>VLOOKUP(I42,[1]PROVID!$A$2:$B$2,2,FALSE)</f>
        <v>ACEH</v>
      </c>
      <c r="Q42" s="25"/>
    </row>
    <row r="43" spans="1:17" x14ac:dyDescent="0.25">
      <c r="A43" s="24">
        <v>42</v>
      </c>
      <c r="B43" s="26">
        <v>11</v>
      </c>
      <c r="C43" s="26">
        <v>1101</v>
      </c>
      <c r="D43" s="26">
        <v>1101020</v>
      </c>
      <c r="E43" s="26">
        <v>1101020034</v>
      </c>
      <c r="F43" s="25">
        <v>533</v>
      </c>
      <c r="G43" s="24">
        <f t="shared" ca="1" si="0"/>
        <v>30</v>
      </c>
      <c r="I43" s="24">
        <f t="shared" si="1"/>
        <v>11</v>
      </c>
      <c r="J43" s="24" t="str">
        <f>VLOOKUP(I43,[1]PROVID!$A$2:$B$2,2,FALSE)</f>
        <v>ACEH</v>
      </c>
      <c r="Q43" s="25"/>
    </row>
    <row r="44" spans="1:17" x14ac:dyDescent="0.25">
      <c r="A44" s="24">
        <v>43</v>
      </c>
      <c r="B44" s="26">
        <v>11</v>
      </c>
      <c r="C44" s="26">
        <v>1101</v>
      </c>
      <c r="D44" s="26">
        <v>1101020</v>
      </c>
      <c r="E44" s="26">
        <v>1101020035</v>
      </c>
      <c r="F44" s="25">
        <v>1184</v>
      </c>
      <c r="G44" s="24">
        <f t="shared" ca="1" si="0"/>
        <v>35</v>
      </c>
      <c r="I44" s="24">
        <f t="shared" si="1"/>
        <v>11</v>
      </c>
      <c r="J44" s="24" t="str">
        <f>VLOOKUP(I44,[1]PROVID!$A$2:$B$2,2,FALSE)</f>
        <v>ACEH</v>
      </c>
      <c r="Q44" s="25"/>
    </row>
    <row r="45" spans="1:17" x14ac:dyDescent="0.25">
      <c r="A45" s="24">
        <v>44</v>
      </c>
      <c r="B45" s="26">
        <v>11</v>
      </c>
      <c r="C45" s="26">
        <v>1101</v>
      </c>
      <c r="D45" s="26">
        <v>1101020</v>
      </c>
      <c r="E45" s="26">
        <v>1101020036</v>
      </c>
      <c r="F45" s="25">
        <v>388</v>
      </c>
      <c r="G45" s="24">
        <f t="shared" ca="1" si="0"/>
        <v>88</v>
      </c>
      <c r="I45" s="24">
        <f t="shared" si="1"/>
        <v>11</v>
      </c>
      <c r="J45" s="24" t="str">
        <f>VLOOKUP(I45,[1]PROVID!$A$2:$B$2,2,FALSE)</f>
        <v>ACEH</v>
      </c>
      <c r="Q45" s="25"/>
    </row>
    <row r="46" spans="1:17" x14ac:dyDescent="0.25">
      <c r="A46" s="24">
        <v>45</v>
      </c>
      <c r="B46" s="26">
        <v>11</v>
      </c>
      <c r="C46" s="26">
        <v>1101</v>
      </c>
      <c r="D46" s="26">
        <v>1101020</v>
      </c>
      <c r="E46" s="26">
        <v>1101020037</v>
      </c>
      <c r="F46" s="25">
        <v>310</v>
      </c>
      <c r="G46" s="24">
        <f t="shared" ca="1" si="0"/>
        <v>67</v>
      </c>
      <c r="I46" s="24">
        <f t="shared" si="1"/>
        <v>11</v>
      </c>
      <c r="J46" s="24" t="str">
        <f>VLOOKUP(I46,[1]PROVID!$A$2:$B$2,2,FALSE)</f>
        <v>ACEH</v>
      </c>
      <c r="Q46" s="25"/>
    </row>
    <row r="47" spans="1:17" x14ac:dyDescent="0.25">
      <c r="A47" s="24">
        <v>46</v>
      </c>
      <c r="B47" s="26">
        <v>11</v>
      </c>
      <c r="C47" s="26">
        <v>1101</v>
      </c>
      <c r="D47" s="26">
        <v>1101020</v>
      </c>
      <c r="E47" s="26">
        <v>1101020038</v>
      </c>
      <c r="F47" s="25">
        <v>454</v>
      </c>
      <c r="G47" s="24">
        <f t="shared" ca="1" si="0"/>
        <v>40</v>
      </c>
      <c r="I47" s="24">
        <f t="shared" si="1"/>
        <v>11</v>
      </c>
      <c r="J47" s="24" t="str">
        <f>VLOOKUP(I47,[1]PROVID!$A$2:$B$2,2,FALSE)</f>
        <v>ACEH</v>
      </c>
      <c r="Q47" s="25"/>
    </row>
    <row r="48" spans="1:17" x14ac:dyDescent="0.25">
      <c r="A48" s="24">
        <v>47</v>
      </c>
      <c r="B48" s="26">
        <v>11</v>
      </c>
      <c r="C48" s="26">
        <v>1101</v>
      </c>
      <c r="D48" s="26">
        <v>1101020</v>
      </c>
      <c r="E48" s="26">
        <v>1101020039</v>
      </c>
      <c r="F48" s="25">
        <v>518</v>
      </c>
      <c r="G48" s="24">
        <f t="shared" ca="1" si="0"/>
        <v>54</v>
      </c>
      <c r="I48" s="24">
        <f t="shared" si="1"/>
        <v>11</v>
      </c>
      <c r="J48" s="24" t="str">
        <f>VLOOKUP(I48,[1]PROVID!$A$2:$B$2,2,FALSE)</f>
        <v>ACEH</v>
      </c>
      <c r="Q48" s="25"/>
    </row>
    <row r="49" spans="1:17" x14ac:dyDescent="0.25">
      <c r="A49" s="24">
        <v>48</v>
      </c>
      <c r="B49" s="26">
        <v>11</v>
      </c>
      <c r="C49" s="26">
        <v>1101</v>
      </c>
      <c r="D49" s="26">
        <v>1101020</v>
      </c>
      <c r="E49" s="26">
        <v>1101020040</v>
      </c>
      <c r="F49" s="25">
        <v>595</v>
      </c>
      <c r="G49" s="24">
        <f t="shared" ca="1" si="0"/>
        <v>13</v>
      </c>
      <c r="I49" s="24">
        <f t="shared" si="1"/>
        <v>11</v>
      </c>
      <c r="J49" s="24" t="str">
        <f>VLOOKUP(I49,[1]PROVID!$A$2:$B$2,2,FALSE)</f>
        <v>ACEH</v>
      </c>
      <c r="Q49" s="25"/>
    </row>
    <row r="50" spans="1:17" x14ac:dyDescent="0.25">
      <c r="A50" s="24">
        <v>49</v>
      </c>
      <c r="B50" s="26">
        <v>11</v>
      </c>
      <c r="C50" s="26">
        <v>1101</v>
      </c>
      <c r="D50" s="26">
        <v>1101021</v>
      </c>
      <c r="E50" s="26">
        <v>1101021001</v>
      </c>
      <c r="F50" s="25">
        <v>273</v>
      </c>
      <c r="G50" s="24">
        <f t="shared" ca="1" si="0"/>
        <v>65</v>
      </c>
      <c r="I50" s="24">
        <f t="shared" si="1"/>
        <v>11</v>
      </c>
      <c r="J50" s="24" t="str">
        <f>VLOOKUP(I50,[1]PROVID!$A$2:$B$2,2,FALSE)</f>
        <v>ACEH</v>
      </c>
      <c r="Q50" s="25"/>
    </row>
    <row r="51" spans="1:17" x14ac:dyDescent="0.25">
      <c r="A51" s="24">
        <v>50</v>
      </c>
      <c r="B51" s="26">
        <v>11</v>
      </c>
      <c r="C51" s="26">
        <v>1101</v>
      </c>
      <c r="D51" s="26">
        <v>1101021</v>
      </c>
      <c r="E51" s="26">
        <v>1101021002</v>
      </c>
      <c r="F51" s="25">
        <v>831</v>
      </c>
      <c r="G51" s="24">
        <f t="shared" ca="1" si="0"/>
        <v>38</v>
      </c>
      <c r="I51" s="24">
        <f t="shared" si="1"/>
        <v>11</v>
      </c>
      <c r="J51" s="24" t="str">
        <f>VLOOKUP(I51,[1]PROVID!$A$2:$B$2,2,FALSE)</f>
        <v>ACEH</v>
      </c>
      <c r="Q51" s="25"/>
    </row>
    <row r="52" spans="1:17" x14ac:dyDescent="0.25">
      <c r="A52" s="24">
        <v>51</v>
      </c>
      <c r="B52" s="26">
        <v>11</v>
      </c>
      <c r="C52" s="26">
        <v>1101</v>
      </c>
      <c r="D52" s="26">
        <v>1101021</v>
      </c>
      <c r="E52" s="26">
        <v>1101021003</v>
      </c>
      <c r="F52" s="25">
        <v>383</v>
      </c>
      <c r="G52" s="24">
        <f t="shared" ca="1" si="0"/>
        <v>101</v>
      </c>
      <c r="I52" s="24">
        <f t="shared" si="1"/>
        <v>11</v>
      </c>
      <c r="J52" s="24" t="str">
        <f>VLOOKUP(I52,[1]PROVID!$A$2:$B$2,2,FALSE)</f>
        <v>ACEH</v>
      </c>
      <c r="Q52" s="25"/>
    </row>
    <row r="53" spans="1:17" x14ac:dyDescent="0.25">
      <c r="A53" s="24">
        <v>52</v>
      </c>
      <c r="B53" s="26">
        <v>11</v>
      </c>
      <c r="C53" s="26">
        <v>1101</v>
      </c>
      <c r="D53" s="26">
        <v>1101021</v>
      </c>
      <c r="E53" s="26">
        <v>1101021004</v>
      </c>
      <c r="F53" s="25">
        <v>521</v>
      </c>
      <c r="G53" s="24">
        <f t="shared" ca="1" si="0"/>
        <v>99</v>
      </c>
      <c r="I53" s="24">
        <f t="shared" si="1"/>
        <v>11</v>
      </c>
      <c r="J53" s="24" t="str">
        <f>VLOOKUP(I53,[1]PROVID!$A$2:$B$2,2,FALSE)</f>
        <v>ACEH</v>
      </c>
      <c r="Q53" s="25"/>
    </row>
    <row r="54" spans="1:17" x14ac:dyDescent="0.25">
      <c r="A54" s="24">
        <v>53</v>
      </c>
      <c r="B54" s="26">
        <v>11</v>
      </c>
      <c r="C54" s="26">
        <v>1101</v>
      </c>
      <c r="D54" s="26">
        <v>1101021</v>
      </c>
      <c r="E54" s="26">
        <v>1101021005</v>
      </c>
      <c r="F54" s="25">
        <v>456</v>
      </c>
      <c r="G54" s="24">
        <f t="shared" ca="1" si="0"/>
        <v>26</v>
      </c>
      <c r="I54" s="24">
        <f t="shared" si="1"/>
        <v>11</v>
      </c>
      <c r="J54" s="24" t="str">
        <f>VLOOKUP(I54,[1]PROVID!$A$2:$B$2,2,FALSE)</f>
        <v>ACEH</v>
      </c>
      <c r="Q54" s="25"/>
    </row>
    <row r="55" spans="1:17" x14ac:dyDescent="0.25">
      <c r="A55" s="24">
        <v>54</v>
      </c>
      <c r="B55" s="26">
        <v>11</v>
      </c>
      <c r="C55" s="26">
        <v>1101</v>
      </c>
      <c r="D55" s="26">
        <v>1101021</v>
      </c>
      <c r="E55" s="26">
        <v>1101021006</v>
      </c>
      <c r="F55" s="25">
        <v>318</v>
      </c>
      <c r="G55" s="24">
        <f t="shared" ca="1" si="0"/>
        <v>22</v>
      </c>
      <c r="I55" s="24">
        <f t="shared" si="1"/>
        <v>11</v>
      </c>
      <c r="J55" s="24" t="str">
        <f>VLOOKUP(I55,[1]PROVID!$A$2:$B$2,2,FALSE)</f>
        <v>ACEH</v>
      </c>
      <c r="Q55" s="25"/>
    </row>
    <row r="56" spans="1:17" x14ac:dyDescent="0.25">
      <c r="A56" s="24">
        <v>55</v>
      </c>
      <c r="B56" s="26">
        <v>11</v>
      </c>
      <c r="C56" s="26">
        <v>1101</v>
      </c>
      <c r="D56" s="26">
        <v>1101021</v>
      </c>
      <c r="E56" s="26">
        <v>1101021007</v>
      </c>
      <c r="F56" s="25">
        <v>689</v>
      </c>
      <c r="G56" s="24">
        <f t="shared" ca="1" si="0"/>
        <v>51</v>
      </c>
      <c r="I56" s="24">
        <f t="shared" si="1"/>
        <v>11</v>
      </c>
      <c r="J56" s="24" t="str">
        <f>VLOOKUP(I56,[1]PROVID!$A$2:$B$2,2,FALSE)</f>
        <v>ACEH</v>
      </c>
      <c r="Q56" s="25"/>
    </row>
    <row r="57" spans="1:17" x14ac:dyDescent="0.25">
      <c r="A57" s="24">
        <v>56</v>
      </c>
      <c r="B57" s="26">
        <v>11</v>
      </c>
      <c r="C57" s="26">
        <v>1101</v>
      </c>
      <c r="D57" s="26">
        <v>1101021</v>
      </c>
      <c r="E57" s="26">
        <v>1101021008</v>
      </c>
      <c r="F57" s="25">
        <v>231</v>
      </c>
      <c r="G57" s="24">
        <f t="shared" ca="1" si="0"/>
        <v>104</v>
      </c>
      <c r="I57" s="24">
        <f t="shared" si="1"/>
        <v>11</v>
      </c>
      <c r="J57" s="24" t="str">
        <f>VLOOKUP(I57,[1]PROVID!$A$2:$B$2,2,FALSE)</f>
        <v>ACEH</v>
      </c>
      <c r="Q57" s="25"/>
    </row>
    <row r="58" spans="1:17" x14ac:dyDescent="0.25">
      <c r="A58" s="24">
        <v>57</v>
      </c>
      <c r="B58" s="26">
        <v>11</v>
      </c>
      <c r="C58" s="26">
        <v>1101</v>
      </c>
      <c r="D58" s="26">
        <v>1101021</v>
      </c>
      <c r="E58" s="26">
        <v>1101021009</v>
      </c>
      <c r="F58" s="25">
        <v>519</v>
      </c>
      <c r="G58" s="24">
        <f t="shared" ca="1" si="0"/>
        <v>33</v>
      </c>
      <c r="I58" s="24">
        <f t="shared" si="1"/>
        <v>11</v>
      </c>
      <c r="J58" s="24" t="str">
        <f>VLOOKUP(I58,[1]PROVID!$A$2:$B$2,2,FALSE)</f>
        <v>ACEH</v>
      </c>
      <c r="Q58" s="25"/>
    </row>
    <row r="59" spans="1:17" x14ac:dyDescent="0.25">
      <c r="A59" s="24">
        <v>58</v>
      </c>
      <c r="B59" s="26">
        <v>11</v>
      </c>
      <c r="C59" s="26">
        <v>1101</v>
      </c>
      <c r="D59" s="26">
        <v>1101021</v>
      </c>
      <c r="E59" s="26">
        <v>1101021010</v>
      </c>
      <c r="F59" s="25">
        <v>169</v>
      </c>
      <c r="G59" s="24">
        <f t="shared" ca="1" si="0"/>
        <v>54</v>
      </c>
      <c r="I59" s="24">
        <f t="shared" si="1"/>
        <v>11</v>
      </c>
      <c r="J59" s="24" t="str">
        <f>VLOOKUP(I59,[1]PROVID!$A$2:$B$2,2,FALSE)</f>
        <v>ACEH</v>
      </c>
      <c r="Q59" s="25"/>
    </row>
    <row r="60" spans="1:17" x14ac:dyDescent="0.25">
      <c r="A60" s="24">
        <v>59</v>
      </c>
      <c r="B60" s="26">
        <v>11</v>
      </c>
      <c r="C60" s="26">
        <v>1101</v>
      </c>
      <c r="D60" s="26">
        <v>1101021</v>
      </c>
      <c r="E60" s="26">
        <v>1101021011</v>
      </c>
      <c r="F60" s="25">
        <v>526</v>
      </c>
      <c r="G60" s="24">
        <f t="shared" ca="1" si="0"/>
        <v>88</v>
      </c>
      <c r="I60" s="24">
        <f t="shared" si="1"/>
        <v>11</v>
      </c>
      <c r="J60" s="24" t="str">
        <f>VLOOKUP(I60,[1]PROVID!$A$2:$B$2,2,FALSE)</f>
        <v>ACEH</v>
      </c>
      <c r="Q60" s="25"/>
    </row>
    <row r="61" spans="1:17" x14ac:dyDescent="0.25">
      <c r="A61" s="24">
        <v>60</v>
      </c>
      <c r="B61" s="26">
        <v>11</v>
      </c>
      <c r="C61" s="26">
        <v>1101</v>
      </c>
      <c r="D61" s="26">
        <v>1101021</v>
      </c>
      <c r="E61" s="26">
        <v>1101021012</v>
      </c>
      <c r="F61" s="25">
        <v>497</v>
      </c>
      <c r="G61" s="24">
        <f t="shared" ca="1" si="0"/>
        <v>58</v>
      </c>
      <c r="I61" s="24">
        <f t="shared" si="1"/>
        <v>11</v>
      </c>
      <c r="J61" s="24" t="str">
        <f>VLOOKUP(I61,[1]PROVID!$A$2:$B$2,2,FALSE)</f>
        <v>ACEH</v>
      </c>
      <c r="Q61" s="25"/>
    </row>
    <row r="62" spans="1:17" x14ac:dyDescent="0.25">
      <c r="A62" s="24">
        <v>61</v>
      </c>
      <c r="B62" s="26">
        <v>11</v>
      </c>
      <c r="C62" s="26">
        <v>1101</v>
      </c>
      <c r="D62" s="26">
        <v>1101021</v>
      </c>
      <c r="E62" s="26">
        <v>1101021013</v>
      </c>
      <c r="F62" s="25">
        <v>272</v>
      </c>
      <c r="G62" s="24">
        <f t="shared" ca="1" si="0"/>
        <v>72</v>
      </c>
      <c r="I62" s="24">
        <f t="shared" si="1"/>
        <v>11</v>
      </c>
      <c r="J62" s="24" t="str">
        <f>VLOOKUP(I62,[1]PROVID!$A$2:$B$2,2,FALSE)</f>
        <v>ACEH</v>
      </c>
      <c r="Q62" s="25"/>
    </row>
    <row r="63" spans="1:17" x14ac:dyDescent="0.25">
      <c r="A63" s="24">
        <v>62</v>
      </c>
      <c r="B63" s="26">
        <v>11</v>
      </c>
      <c r="C63" s="26">
        <v>1101</v>
      </c>
      <c r="D63" s="26">
        <v>1101021</v>
      </c>
      <c r="E63" s="26">
        <v>1101021014</v>
      </c>
      <c r="F63" s="25">
        <v>225</v>
      </c>
      <c r="G63" s="24">
        <f t="shared" ca="1" si="0"/>
        <v>111</v>
      </c>
      <c r="I63" s="24">
        <f t="shared" si="1"/>
        <v>11</v>
      </c>
      <c r="J63" s="24" t="str">
        <f>VLOOKUP(I63,[1]PROVID!$A$2:$B$2,2,FALSE)</f>
        <v>ACEH</v>
      </c>
      <c r="Q63" s="25"/>
    </row>
    <row r="64" spans="1:17" x14ac:dyDescent="0.25">
      <c r="A64" s="24">
        <v>63</v>
      </c>
      <c r="B64" s="26">
        <v>11</v>
      </c>
      <c r="C64" s="26">
        <v>1101</v>
      </c>
      <c r="D64" s="26">
        <v>1101021</v>
      </c>
      <c r="E64" s="26">
        <v>1101021015</v>
      </c>
      <c r="F64" s="25">
        <v>423</v>
      </c>
      <c r="G64" s="24">
        <f t="shared" ca="1" si="0"/>
        <v>44</v>
      </c>
      <c r="I64" s="24">
        <f t="shared" si="1"/>
        <v>11</v>
      </c>
      <c r="J64" s="24" t="str">
        <f>VLOOKUP(I64,[1]PROVID!$A$2:$B$2,2,FALSE)</f>
        <v>ACEH</v>
      </c>
      <c r="Q64" s="25"/>
    </row>
    <row r="65" spans="1:17" x14ac:dyDescent="0.25">
      <c r="A65" s="24">
        <v>64</v>
      </c>
      <c r="B65" s="26">
        <v>11</v>
      </c>
      <c r="C65" s="26">
        <v>1101</v>
      </c>
      <c r="D65" s="26">
        <v>1101021</v>
      </c>
      <c r="E65" s="26">
        <v>1101021016</v>
      </c>
      <c r="F65" s="25">
        <v>287</v>
      </c>
      <c r="G65" s="24">
        <f t="shared" ca="1" si="0"/>
        <v>58</v>
      </c>
      <c r="I65" s="24">
        <f t="shared" si="1"/>
        <v>11</v>
      </c>
      <c r="J65" s="24" t="str">
        <f>VLOOKUP(I65,[1]PROVID!$A$2:$B$2,2,FALSE)</f>
        <v>ACEH</v>
      </c>
      <c r="Q65" s="25"/>
    </row>
    <row r="66" spans="1:17" x14ac:dyDescent="0.25">
      <c r="A66" s="24">
        <v>65</v>
      </c>
      <c r="B66" s="26">
        <v>11</v>
      </c>
      <c r="C66" s="26">
        <v>1101</v>
      </c>
      <c r="D66" s="26">
        <v>1101021</v>
      </c>
      <c r="E66" s="26">
        <v>1101021017</v>
      </c>
      <c r="F66" s="25">
        <v>395</v>
      </c>
      <c r="G66" s="24">
        <f t="shared" ca="1" si="0"/>
        <v>13</v>
      </c>
      <c r="I66" s="24">
        <f t="shared" si="1"/>
        <v>11</v>
      </c>
      <c r="J66" s="24" t="str">
        <f>VLOOKUP(I66,[1]PROVID!$A$2:$B$2,2,FALSE)</f>
        <v>ACEH</v>
      </c>
      <c r="Q66" s="25"/>
    </row>
    <row r="67" spans="1:17" x14ac:dyDescent="0.25">
      <c r="A67" s="24">
        <v>66</v>
      </c>
      <c r="B67" s="26">
        <v>11</v>
      </c>
      <c r="C67" s="26">
        <v>1101</v>
      </c>
      <c r="D67" s="26">
        <v>1101021</v>
      </c>
      <c r="E67" s="26">
        <v>1101021018</v>
      </c>
      <c r="F67" s="25">
        <v>254</v>
      </c>
      <c r="G67" s="24">
        <f t="shared" ref="G67:G113" ca="1" si="6">RANDBETWEEN($A$2,$A$113)</f>
        <v>53</v>
      </c>
      <c r="I67" s="24">
        <f t="shared" ref="I67:I113" si="7">SUMIF($A$2:$A$113,$H$2,$B$2:$B$113)</f>
        <v>11</v>
      </c>
      <c r="J67" s="24" t="str">
        <f>VLOOKUP(I67,[1]PROVID!$A$2:$B$2,2,FALSE)</f>
        <v>ACEH</v>
      </c>
      <c r="Q67" s="25"/>
    </row>
    <row r="68" spans="1:17" x14ac:dyDescent="0.25">
      <c r="A68" s="24">
        <v>67</v>
      </c>
      <c r="B68" s="26">
        <v>11</v>
      </c>
      <c r="C68" s="26">
        <v>1101</v>
      </c>
      <c r="D68" s="26">
        <v>1101030</v>
      </c>
      <c r="E68" s="26">
        <v>1101030001</v>
      </c>
      <c r="F68" s="25">
        <v>332</v>
      </c>
      <c r="G68" s="24">
        <f t="shared" ca="1" si="6"/>
        <v>54</v>
      </c>
      <c r="I68" s="24">
        <f t="shared" si="7"/>
        <v>11</v>
      </c>
      <c r="J68" s="24" t="str">
        <f>VLOOKUP(I68,[1]PROVID!$A$2:$B$2,2,FALSE)</f>
        <v>ACEH</v>
      </c>
      <c r="Q68" s="25"/>
    </row>
    <row r="69" spans="1:17" x14ac:dyDescent="0.25">
      <c r="A69" s="24">
        <v>68</v>
      </c>
      <c r="B69" s="26">
        <v>11</v>
      </c>
      <c r="C69" s="26">
        <v>1101</v>
      </c>
      <c r="D69" s="26">
        <v>1101030</v>
      </c>
      <c r="E69" s="26">
        <v>1101030002</v>
      </c>
      <c r="F69" s="25">
        <v>635</v>
      </c>
      <c r="G69" s="24">
        <f t="shared" ca="1" si="6"/>
        <v>16</v>
      </c>
      <c r="I69" s="24">
        <f t="shared" si="7"/>
        <v>11</v>
      </c>
      <c r="J69" s="24" t="str">
        <f>VLOOKUP(I69,[1]PROVID!$A$2:$B$2,2,FALSE)</f>
        <v>ACEH</v>
      </c>
      <c r="Q69" s="25"/>
    </row>
    <row r="70" spans="1:17" x14ac:dyDescent="0.25">
      <c r="A70" s="24">
        <v>69</v>
      </c>
      <c r="B70" s="26">
        <v>11</v>
      </c>
      <c r="C70" s="26">
        <v>1101</v>
      </c>
      <c r="D70" s="26">
        <v>1101030</v>
      </c>
      <c r="E70" s="26">
        <v>1101030003</v>
      </c>
      <c r="F70" s="25">
        <v>517</v>
      </c>
      <c r="G70" s="24">
        <f t="shared" ca="1" si="6"/>
        <v>37</v>
      </c>
      <c r="I70" s="24">
        <f t="shared" si="7"/>
        <v>11</v>
      </c>
      <c r="J70" s="24" t="str">
        <f>VLOOKUP(I70,[1]PROVID!$A$2:$B$2,2,FALSE)</f>
        <v>ACEH</v>
      </c>
      <c r="Q70" s="25"/>
    </row>
    <row r="71" spans="1:17" x14ac:dyDescent="0.25">
      <c r="A71" s="24">
        <v>70</v>
      </c>
      <c r="B71" s="26">
        <v>11</v>
      </c>
      <c r="C71" s="26">
        <v>1101</v>
      </c>
      <c r="D71" s="26">
        <v>1101030</v>
      </c>
      <c r="E71" s="26">
        <v>1101030004</v>
      </c>
      <c r="F71" s="25">
        <v>335</v>
      </c>
      <c r="G71" s="24">
        <f t="shared" ca="1" si="6"/>
        <v>80</v>
      </c>
      <c r="I71" s="24">
        <f t="shared" si="7"/>
        <v>11</v>
      </c>
      <c r="J71" s="24" t="str">
        <f>VLOOKUP(I71,[1]PROVID!$A$2:$B$2,2,FALSE)</f>
        <v>ACEH</v>
      </c>
      <c r="Q71" s="25"/>
    </row>
    <row r="72" spans="1:17" x14ac:dyDescent="0.25">
      <c r="A72" s="24">
        <v>71</v>
      </c>
      <c r="B72" s="26">
        <v>11</v>
      </c>
      <c r="C72" s="26">
        <v>1101</v>
      </c>
      <c r="D72" s="26">
        <v>1101030</v>
      </c>
      <c r="E72" s="26">
        <v>1101030005</v>
      </c>
      <c r="F72" s="25">
        <v>1639</v>
      </c>
      <c r="G72" s="24">
        <f t="shared" ca="1" si="6"/>
        <v>36</v>
      </c>
      <c r="I72" s="24">
        <f t="shared" si="7"/>
        <v>11</v>
      </c>
      <c r="J72" s="24" t="str">
        <f>VLOOKUP(I72,[1]PROVID!$A$2:$B$2,2,FALSE)</f>
        <v>ACEH</v>
      </c>
      <c r="Q72" s="25"/>
    </row>
    <row r="73" spans="1:17" x14ac:dyDescent="0.25">
      <c r="A73" s="24">
        <v>72</v>
      </c>
      <c r="B73" s="26">
        <v>11</v>
      </c>
      <c r="C73" s="26">
        <v>1101</v>
      </c>
      <c r="D73" s="26">
        <v>1101030</v>
      </c>
      <c r="E73" s="26">
        <v>1101030006</v>
      </c>
      <c r="F73" s="25">
        <v>138</v>
      </c>
      <c r="G73" s="24">
        <f t="shared" ca="1" si="6"/>
        <v>6</v>
      </c>
      <c r="I73" s="24">
        <f t="shared" si="7"/>
        <v>11</v>
      </c>
      <c r="J73" s="24" t="str">
        <f>VLOOKUP(I73,[1]PROVID!$A$2:$B$2,2,FALSE)</f>
        <v>ACEH</v>
      </c>
      <c r="Q73" s="25"/>
    </row>
    <row r="74" spans="1:17" x14ac:dyDescent="0.25">
      <c r="A74" s="24">
        <v>73</v>
      </c>
      <c r="B74" s="26">
        <v>11</v>
      </c>
      <c r="C74" s="26">
        <v>1101</v>
      </c>
      <c r="D74" s="26">
        <v>1101030</v>
      </c>
      <c r="E74" s="26">
        <v>1101030007</v>
      </c>
      <c r="F74" s="25">
        <v>146</v>
      </c>
      <c r="G74" s="24">
        <f t="shared" ca="1" si="6"/>
        <v>112</v>
      </c>
      <c r="I74" s="24">
        <f t="shared" si="7"/>
        <v>11</v>
      </c>
      <c r="J74" s="24" t="str">
        <f>VLOOKUP(I74,[1]PROVID!$A$2:$B$2,2,FALSE)</f>
        <v>ACEH</v>
      </c>
      <c r="Q74" s="25"/>
    </row>
    <row r="75" spans="1:17" x14ac:dyDescent="0.25">
      <c r="A75" s="24">
        <v>74</v>
      </c>
      <c r="B75" s="26">
        <v>11</v>
      </c>
      <c r="C75" s="26">
        <v>1101</v>
      </c>
      <c r="D75" s="26">
        <v>1101030</v>
      </c>
      <c r="E75" s="26">
        <v>1101030008</v>
      </c>
      <c r="F75" s="25">
        <v>145</v>
      </c>
      <c r="G75" s="24">
        <f t="shared" ca="1" si="6"/>
        <v>23</v>
      </c>
      <c r="I75" s="24">
        <f t="shared" si="7"/>
        <v>11</v>
      </c>
      <c r="J75" s="24" t="str">
        <f>VLOOKUP(I75,[1]PROVID!$A$2:$B$2,2,FALSE)</f>
        <v>ACEH</v>
      </c>
      <c r="Q75" s="25"/>
    </row>
    <row r="76" spans="1:17" x14ac:dyDescent="0.25">
      <c r="A76" s="24">
        <v>75</v>
      </c>
      <c r="B76" s="26">
        <v>11</v>
      </c>
      <c r="C76" s="26">
        <v>1101</v>
      </c>
      <c r="D76" s="26">
        <v>1101030</v>
      </c>
      <c r="E76" s="26">
        <v>1101030009</v>
      </c>
      <c r="F76" s="25">
        <v>297</v>
      </c>
      <c r="G76" s="24">
        <f t="shared" ca="1" si="6"/>
        <v>40</v>
      </c>
      <c r="I76" s="24">
        <f t="shared" si="7"/>
        <v>11</v>
      </c>
      <c r="J76" s="24" t="str">
        <f>VLOOKUP(I76,[1]PROVID!$A$2:$B$2,2,FALSE)</f>
        <v>ACEH</v>
      </c>
      <c r="Q76" s="25"/>
    </row>
    <row r="77" spans="1:17" x14ac:dyDescent="0.25">
      <c r="A77" s="24">
        <v>76</v>
      </c>
      <c r="B77" s="26">
        <v>11</v>
      </c>
      <c r="C77" s="26">
        <v>1101</v>
      </c>
      <c r="D77" s="26">
        <v>1101030</v>
      </c>
      <c r="E77" s="26">
        <v>1101030010</v>
      </c>
      <c r="F77" s="25">
        <v>300</v>
      </c>
      <c r="G77" s="24">
        <f t="shared" ca="1" si="6"/>
        <v>112</v>
      </c>
      <c r="I77" s="24">
        <f t="shared" si="7"/>
        <v>11</v>
      </c>
      <c r="J77" s="24" t="str">
        <f>VLOOKUP(I77,[1]PROVID!$A$2:$B$2,2,FALSE)</f>
        <v>ACEH</v>
      </c>
      <c r="Q77" s="25"/>
    </row>
    <row r="78" spans="1:17" x14ac:dyDescent="0.25">
      <c r="A78" s="24">
        <v>77</v>
      </c>
      <c r="B78" s="26">
        <v>11</v>
      </c>
      <c r="C78" s="26">
        <v>1101</v>
      </c>
      <c r="D78" s="26">
        <v>1101030</v>
      </c>
      <c r="E78" s="26">
        <v>1101030011</v>
      </c>
      <c r="F78" s="25">
        <v>487</v>
      </c>
      <c r="G78" s="24">
        <f t="shared" ca="1" si="6"/>
        <v>70</v>
      </c>
      <c r="I78" s="24">
        <f t="shared" si="7"/>
        <v>11</v>
      </c>
      <c r="J78" s="24" t="str">
        <f>VLOOKUP(I78,[1]PROVID!$A$2:$B$2,2,FALSE)</f>
        <v>ACEH</v>
      </c>
      <c r="Q78" s="25"/>
    </row>
    <row r="79" spans="1:17" x14ac:dyDescent="0.25">
      <c r="A79" s="24">
        <v>78</v>
      </c>
      <c r="B79" s="26">
        <v>11</v>
      </c>
      <c r="C79" s="26">
        <v>1101</v>
      </c>
      <c r="D79" s="26">
        <v>1101030</v>
      </c>
      <c r="E79" s="26">
        <v>1101030012</v>
      </c>
      <c r="F79" s="25">
        <v>351</v>
      </c>
      <c r="G79" s="24">
        <f t="shared" ca="1" si="6"/>
        <v>71</v>
      </c>
      <c r="I79" s="24">
        <f t="shared" si="7"/>
        <v>11</v>
      </c>
      <c r="J79" s="24" t="str">
        <f>VLOOKUP(I79,[1]PROVID!$A$2:$B$2,2,FALSE)</f>
        <v>ACEH</v>
      </c>
      <c r="Q79" s="25"/>
    </row>
    <row r="80" spans="1:17" x14ac:dyDescent="0.25">
      <c r="A80" s="24">
        <v>79</v>
      </c>
      <c r="B80" s="26">
        <v>11</v>
      </c>
      <c r="C80" s="26">
        <v>1101</v>
      </c>
      <c r="D80" s="26">
        <v>1101030</v>
      </c>
      <c r="E80" s="26">
        <v>1101030013</v>
      </c>
      <c r="F80" s="25">
        <v>418</v>
      </c>
      <c r="G80" s="24">
        <f t="shared" ca="1" si="6"/>
        <v>30</v>
      </c>
      <c r="I80" s="24">
        <f t="shared" si="7"/>
        <v>11</v>
      </c>
      <c r="J80" s="24" t="str">
        <f>VLOOKUP(I80,[1]PROVID!$A$2:$B$2,2,FALSE)</f>
        <v>ACEH</v>
      </c>
      <c r="Q80" s="25"/>
    </row>
    <row r="81" spans="1:17" x14ac:dyDescent="0.25">
      <c r="A81" s="24">
        <v>80</v>
      </c>
      <c r="B81" s="26">
        <v>11</v>
      </c>
      <c r="C81" s="26">
        <v>1101</v>
      </c>
      <c r="D81" s="26">
        <v>1101030</v>
      </c>
      <c r="E81" s="26">
        <v>1101030014</v>
      </c>
      <c r="F81" s="25">
        <v>330</v>
      </c>
      <c r="G81" s="24">
        <f t="shared" ca="1" si="6"/>
        <v>104</v>
      </c>
      <c r="I81" s="24">
        <f t="shared" si="7"/>
        <v>11</v>
      </c>
      <c r="J81" s="24" t="str">
        <f>VLOOKUP(I81,[1]PROVID!$A$2:$B$2,2,FALSE)</f>
        <v>ACEH</v>
      </c>
      <c r="Q81" s="25"/>
    </row>
    <row r="82" spans="1:17" x14ac:dyDescent="0.25">
      <c r="A82" s="24">
        <v>81</v>
      </c>
      <c r="B82" s="26">
        <v>11</v>
      </c>
      <c r="C82" s="26">
        <v>1101</v>
      </c>
      <c r="D82" s="26">
        <v>1101030</v>
      </c>
      <c r="E82" s="26">
        <v>1101030015</v>
      </c>
      <c r="F82" s="25">
        <v>408</v>
      </c>
      <c r="G82" s="24">
        <f t="shared" ca="1" si="6"/>
        <v>104</v>
      </c>
      <c r="I82" s="24">
        <f t="shared" si="7"/>
        <v>11</v>
      </c>
      <c r="J82" s="24" t="str">
        <f>VLOOKUP(I82,[1]PROVID!$A$2:$B$2,2,FALSE)</f>
        <v>ACEH</v>
      </c>
      <c r="Q82" s="25"/>
    </row>
    <row r="83" spans="1:17" x14ac:dyDescent="0.25">
      <c r="A83" s="24">
        <v>82</v>
      </c>
      <c r="B83" s="26">
        <v>11</v>
      </c>
      <c r="C83" s="26">
        <v>1101</v>
      </c>
      <c r="D83" s="26">
        <v>1101030</v>
      </c>
      <c r="E83" s="26">
        <v>1101030016</v>
      </c>
      <c r="F83" s="25">
        <v>321</v>
      </c>
      <c r="G83" s="24">
        <f t="shared" ca="1" si="6"/>
        <v>26</v>
      </c>
      <c r="I83" s="24">
        <f t="shared" si="7"/>
        <v>11</v>
      </c>
      <c r="J83" s="24" t="str">
        <f>VLOOKUP(I83,[1]PROVID!$A$2:$B$2,2,FALSE)</f>
        <v>ACEH</v>
      </c>
      <c r="Q83" s="25"/>
    </row>
    <row r="84" spans="1:17" x14ac:dyDescent="0.25">
      <c r="A84" s="24">
        <v>83</v>
      </c>
      <c r="B84" s="26">
        <v>11</v>
      </c>
      <c r="C84" s="26">
        <v>1101</v>
      </c>
      <c r="D84" s="26">
        <v>1101030</v>
      </c>
      <c r="E84" s="26">
        <v>1101030017</v>
      </c>
      <c r="F84" s="25">
        <v>274</v>
      </c>
      <c r="G84" s="24">
        <f t="shared" ca="1" si="6"/>
        <v>31</v>
      </c>
      <c r="I84" s="24">
        <f t="shared" si="7"/>
        <v>11</v>
      </c>
      <c r="J84" s="24" t="str">
        <f>VLOOKUP(I84,[1]PROVID!$A$2:$B$2,2,FALSE)</f>
        <v>ACEH</v>
      </c>
      <c r="Q84" s="25"/>
    </row>
    <row r="85" spans="1:17" x14ac:dyDescent="0.25">
      <c r="A85" s="24">
        <v>84</v>
      </c>
      <c r="B85" s="26">
        <v>11</v>
      </c>
      <c r="C85" s="26">
        <v>1101</v>
      </c>
      <c r="D85" s="26">
        <v>1101030</v>
      </c>
      <c r="E85" s="26">
        <v>1101030020</v>
      </c>
      <c r="F85" s="25">
        <v>281</v>
      </c>
      <c r="G85" s="24">
        <f t="shared" ca="1" si="6"/>
        <v>25</v>
      </c>
      <c r="I85" s="24">
        <f t="shared" si="7"/>
        <v>11</v>
      </c>
      <c r="J85" s="24" t="str">
        <f>VLOOKUP(I85,[1]PROVID!$A$2:$B$2,2,FALSE)</f>
        <v>ACEH</v>
      </c>
      <c r="Q85" s="25"/>
    </row>
    <row r="86" spans="1:17" x14ac:dyDescent="0.25">
      <c r="A86" s="24">
        <v>85</v>
      </c>
      <c r="B86" s="26">
        <v>11</v>
      </c>
      <c r="C86" s="26">
        <v>1101</v>
      </c>
      <c r="D86" s="26">
        <v>1101030</v>
      </c>
      <c r="E86" s="26">
        <v>1101030021</v>
      </c>
      <c r="F86" s="25">
        <v>299</v>
      </c>
      <c r="G86" s="24">
        <f t="shared" ca="1" si="6"/>
        <v>111</v>
      </c>
      <c r="I86" s="24">
        <f t="shared" si="7"/>
        <v>11</v>
      </c>
      <c r="J86" s="24" t="str">
        <f>VLOOKUP(I86,[1]PROVID!$A$2:$B$2,2,FALSE)</f>
        <v>ACEH</v>
      </c>
      <c r="Q86" s="25"/>
    </row>
    <row r="87" spans="1:17" x14ac:dyDescent="0.25">
      <c r="A87" s="24">
        <v>86</v>
      </c>
      <c r="B87" s="26">
        <v>11</v>
      </c>
      <c r="C87" s="26">
        <v>1101</v>
      </c>
      <c r="D87" s="26">
        <v>1101030</v>
      </c>
      <c r="E87" s="26">
        <v>1101030022</v>
      </c>
      <c r="F87" s="25">
        <v>474</v>
      </c>
      <c r="G87" s="24">
        <f t="shared" ca="1" si="6"/>
        <v>61</v>
      </c>
      <c r="I87" s="24">
        <f t="shared" si="7"/>
        <v>11</v>
      </c>
      <c r="J87" s="24" t="str">
        <f>VLOOKUP(I87,[1]PROVID!$A$2:$B$2,2,FALSE)</f>
        <v>ACEH</v>
      </c>
      <c r="Q87" s="25"/>
    </row>
    <row r="88" spans="1:17" x14ac:dyDescent="0.25">
      <c r="A88" s="24">
        <v>87</v>
      </c>
      <c r="B88" s="26">
        <v>11</v>
      </c>
      <c r="C88" s="26">
        <v>1101</v>
      </c>
      <c r="D88" s="26">
        <v>1101030</v>
      </c>
      <c r="E88" s="26">
        <v>1101030023</v>
      </c>
      <c r="F88" s="25">
        <v>172</v>
      </c>
      <c r="G88" s="24">
        <f t="shared" ca="1" si="6"/>
        <v>42</v>
      </c>
      <c r="I88" s="24">
        <f t="shared" si="7"/>
        <v>11</v>
      </c>
      <c r="J88" s="24" t="str">
        <f>VLOOKUP(I88,[1]PROVID!$A$2:$B$2,2,FALSE)</f>
        <v>ACEH</v>
      </c>
      <c r="Q88" s="25"/>
    </row>
    <row r="89" spans="1:17" x14ac:dyDescent="0.25">
      <c r="A89" s="24">
        <v>88</v>
      </c>
      <c r="B89" s="26">
        <v>11</v>
      </c>
      <c r="C89" s="26">
        <v>1101</v>
      </c>
      <c r="D89" s="26">
        <v>1101030</v>
      </c>
      <c r="E89" s="26">
        <v>1101030024</v>
      </c>
      <c r="F89" s="25">
        <v>186</v>
      </c>
      <c r="G89" s="24">
        <f t="shared" ca="1" si="6"/>
        <v>42</v>
      </c>
      <c r="I89" s="24">
        <f t="shared" si="7"/>
        <v>11</v>
      </c>
      <c r="J89" s="24" t="str">
        <f>VLOOKUP(I89,[1]PROVID!$A$2:$B$2,2,FALSE)</f>
        <v>ACEH</v>
      </c>
      <c r="Q89" s="25"/>
    </row>
    <row r="90" spans="1:17" x14ac:dyDescent="0.25">
      <c r="A90" s="24">
        <v>89</v>
      </c>
      <c r="B90" s="26">
        <v>11</v>
      </c>
      <c r="C90" s="26">
        <v>1101</v>
      </c>
      <c r="D90" s="26">
        <v>1101030</v>
      </c>
      <c r="E90" s="26">
        <v>1101030025</v>
      </c>
      <c r="F90" s="25">
        <v>207</v>
      </c>
      <c r="G90" s="24">
        <f t="shared" ca="1" si="6"/>
        <v>24</v>
      </c>
      <c r="I90" s="24">
        <f t="shared" si="7"/>
        <v>11</v>
      </c>
      <c r="J90" s="24" t="str">
        <f>VLOOKUP(I90,[1]PROVID!$A$2:$B$2,2,FALSE)</f>
        <v>ACEH</v>
      </c>
      <c r="Q90" s="25"/>
    </row>
    <row r="91" spans="1:17" x14ac:dyDescent="0.25">
      <c r="A91" s="24">
        <v>90</v>
      </c>
      <c r="B91" s="26">
        <v>11</v>
      </c>
      <c r="C91" s="26">
        <v>1101</v>
      </c>
      <c r="D91" s="26">
        <v>1101030</v>
      </c>
      <c r="E91" s="26">
        <v>1101030026</v>
      </c>
      <c r="F91" s="25">
        <v>318</v>
      </c>
      <c r="G91" s="24">
        <f t="shared" ca="1" si="6"/>
        <v>4</v>
      </c>
      <c r="I91" s="24">
        <f t="shared" si="7"/>
        <v>11</v>
      </c>
      <c r="J91" s="24" t="str">
        <f>VLOOKUP(I91,[1]PROVID!$A$2:$B$2,2,FALSE)</f>
        <v>ACEH</v>
      </c>
      <c r="Q91" s="25"/>
    </row>
    <row r="92" spans="1:17" x14ac:dyDescent="0.25">
      <c r="A92" s="24">
        <v>91</v>
      </c>
      <c r="B92" s="26">
        <v>11</v>
      </c>
      <c r="C92" s="26">
        <v>1101</v>
      </c>
      <c r="D92" s="26">
        <v>1101031</v>
      </c>
      <c r="E92" s="26">
        <v>1101031001</v>
      </c>
      <c r="F92" s="25">
        <v>227</v>
      </c>
      <c r="G92" s="24">
        <f t="shared" ca="1" si="6"/>
        <v>44</v>
      </c>
      <c r="I92" s="24">
        <f t="shared" si="7"/>
        <v>11</v>
      </c>
      <c r="J92" s="24" t="str">
        <f>VLOOKUP(I92,[1]PROVID!$A$2:$B$2,2,FALSE)</f>
        <v>ACEH</v>
      </c>
      <c r="Q92" s="25"/>
    </row>
    <row r="93" spans="1:17" x14ac:dyDescent="0.25">
      <c r="A93" s="24">
        <v>92</v>
      </c>
      <c r="B93" s="26">
        <v>11</v>
      </c>
      <c r="C93" s="26">
        <v>1101</v>
      </c>
      <c r="D93" s="26">
        <v>1101031</v>
      </c>
      <c r="E93" s="26">
        <v>1101031002</v>
      </c>
      <c r="F93" s="25">
        <v>390</v>
      </c>
      <c r="G93" s="24">
        <f t="shared" ca="1" si="6"/>
        <v>58</v>
      </c>
      <c r="I93" s="24">
        <f t="shared" si="7"/>
        <v>11</v>
      </c>
      <c r="J93" s="24" t="str">
        <f>VLOOKUP(I93,[1]PROVID!$A$2:$B$2,2,FALSE)</f>
        <v>ACEH</v>
      </c>
      <c r="Q93" s="25"/>
    </row>
    <row r="94" spans="1:17" x14ac:dyDescent="0.25">
      <c r="A94" s="24">
        <v>93</v>
      </c>
      <c r="B94" s="26">
        <v>11</v>
      </c>
      <c r="C94" s="26">
        <v>1101</v>
      </c>
      <c r="D94" s="26">
        <v>1101031</v>
      </c>
      <c r="E94" s="26">
        <v>1101031003</v>
      </c>
      <c r="F94" s="25">
        <v>354</v>
      </c>
      <c r="G94" s="24">
        <f t="shared" ca="1" si="6"/>
        <v>99</v>
      </c>
      <c r="I94" s="24">
        <f t="shared" si="7"/>
        <v>11</v>
      </c>
      <c r="J94" s="24" t="str">
        <f>VLOOKUP(I94,[1]PROVID!$A$2:$B$2,2,FALSE)</f>
        <v>ACEH</v>
      </c>
      <c r="Q94" s="25"/>
    </row>
    <row r="95" spans="1:17" x14ac:dyDescent="0.25">
      <c r="A95" s="24">
        <v>94</v>
      </c>
      <c r="B95" s="26">
        <v>11</v>
      </c>
      <c r="C95" s="26">
        <v>1101</v>
      </c>
      <c r="D95" s="26">
        <v>1101031</v>
      </c>
      <c r="E95" s="26">
        <v>1101031004</v>
      </c>
      <c r="F95" s="25">
        <v>458</v>
      </c>
      <c r="G95" s="24">
        <f t="shared" ca="1" si="6"/>
        <v>54</v>
      </c>
      <c r="I95" s="24">
        <f t="shared" si="7"/>
        <v>11</v>
      </c>
      <c r="J95" s="24" t="str">
        <f>VLOOKUP(I95,[1]PROVID!$A$2:$B$2,2,FALSE)</f>
        <v>ACEH</v>
      </c>
      <c r="Q95" s="25"/>
    </row>
    <row r="96" spans="1:17" x14ac:dyDescent="0.25">
      <c r="A96" s="24">
        <v>95</v>
      </c>
      <c r="B96" s="26">
        <v>11</v>
      </c>
      <c r="C96" s="26">
        <v>1101</v>
      </c>
      <c r="D96" s="26">
        <v>1101031</v>
      </c>
      <c r="E96" s="26">
        <v>1101031005</v>
      </c>
      <c r="F96" s="25">
        <v>314</v>
      </c>
      <c r="G96" s="24">
        <f t="shared" ca="1" si="6"/>
        <v>92</v>
      </c>
      <c r="I96" s="24">
        <f t="shared" si="7"/>
        <v>11</v>
      </c>
      <c r="J96" s="24" t="str">
        <f>VLOOKUP(I96,[1]PROVID!$A$2:$B$2,2,FALSE)</f>
        <v>ACEH</v>
      </c>
      <c r="Q96" s="25"/>
    </row>
    <row r="97" spans="1:17" x14ac:dyDescent="0.25">
      <c r="A97" s="24">
        <v>96</v>
      </c>
      <c r="B97" s="26">
        <v>11</v>
      </c>
      <c r="C97" s="26">
        <v>1101</v>
      </c>
      <c r="D97" s="26">
        <v>1101031</v>
      </c>
      <c r="E97" s="26">
        <v>1101031006</v>
      </c>
      <c r="F97" s="25">
        <v>1070</v>
      </c>
      <c r="G97" s="24">
        <f t="shared" ca="1" si="6"/>
        <v>87</v>
      </c>
      <c r="I97" s="24">
        <f t="shared" si="7"/>
        <v>11</v>
      </c>
      <c r="J97" s="24" t="str">
        <f>VLOOKUP(I97,[1]PROVID!$A$2:$B$2,2,FALSE)</f>
        <v>ACEH</v>
      </c>
      <c r="Q97" s="25"/>
    </row>
    <row r="98" spans="1:17" x14ac:dyDescent="0.25">
      <c r="A98" s="24">
        <v>97</v>
      </c>
      <c r="B98" s="26">
        <v>11</v>
      </c>
      <c r="C98" s="26">
        <v>1101</v>
      </c>
      <c r="D98" s="26">
        <v>1101031</v>
      </c>
      <c r="E98" s="26">
        <v>1101031007</v>
      </c>
      <c r="F98" s="25">
        <v>546</v>
      </c>
      <c r="G98" s="24">
        <f t="shared" ca="1" si="6"/>
        <v>19</v>
      </c>
      <c r="I98" s="24">
        <f t="shared" si="7"/>
        <v>11</v>
      </c>
      <c r="J98" s="24" t="str">
        <f>VLOOKUP(I98,[1]PROVID!$A$2:$B$2,2,FALSE)</f>
        <v>ACEH</v>
      </c>
      <c r="Q98" s="25"/>
    </row>
    <row r="99" spans="1:17" x14ac:dyDescent="0.25">
      <c r="A99" s="24">
        <v>98</v>
      </c>
      <c r="B99" s="26">
        <v>11</v>
      </c>
      <c r="C99" s="26">
        <v>1101</v>
      </c>
      <c r="D99" s="26">
        <v>1101031</v>
      </c>
      <c r="E99" s="26">
        <v>1101031008</v>
      </c>
      <c r="F99" s="25">
        <v>589</v>
      </c>
      <c r="G99" s="24">
        <f t="shared" ca="1" si="6"/>
        <v>10</v>
      </c>
      <c r="I99" s="24">
        <f t="shared" si="7"/>
        <v>11</v>
      </c>
      <c r="J99" s="24" t="str">
        <f>VLOOKUP(I99,[1]PROVID!$A$2:$B$2,2,FALSE)</f>
        <v>ACEH</v>
      </c>
      <c r="Q99" s="25"/>
    </row>
    <row r="100" spans="1:17" x14ac:dyDescent="0.25">
      <c r="A100" s="24">
        <v>99</v>
      </c>
      <c r="B100" s="26">
        <v>11</v>
      </c>
      <c r="C100" s="26">
        <v>1101</v>
      </c>
      <c r="D100" s="26">
        <v>1101031</v>
      </c>
      <c r="E100" s="26">
        <v>1101031009</v>
      </c>
      <c r="F100" s="25">
        <v>370</v>
      </c>
      <c r="G100" s="24">
        <f t="shared" ca="1" si="6"/>
        <v>59</v>
      </c>
      <c r="I100" s="24">
        <f t="shared" si="7"/>
        <v>11</v>
      </c>
      <c r="J100" s="24" t="str">
        <f>VLOOKUP(I100,[1]PROVID!$A$2:$B$2,2,FALSE)</f>
        <v>ACEH</v>
      </c>
      <c r="Q100" s="25"/>
    </row>
    <row r="101" spans="1:17" x14ac:dyDescent="0.25">
      <c r="A101" s="24">
        <v>100</v>
      </c>
      <c r="B101" s="26">
        <v>11</v>
      </c>
      <c r="C101" s="26">
        <v>1101</v>
      </c>
      <c r="D101" s="26">
        <v>1101031</v>
      </c>
      <c r="E101" s="26">
        <v>1101031010</v>
      </c>
      <c r="F101" s="25">
        <v>596</v>
      </c>
      <c r="G101" s="24">
        <f t="shared" ca="1" si="6"/>
        <v>23</v>
      </c>
      <c r="I101" s="24">
        <f t="shared" si="7"/>
        <v>11</v>
      </c>
      <c r="J101" s="24" t="str">
        <f>VLOOKUP(I101,[1]PROVID!$A$2:$B$2,2,FALSE)</f>
        <v>ACEH</v>
      </c>
      <c r="Q101" s="25"/>
    </row>
    <row r="102" spans="1:17" x14ac:dyDescent="0.25">
      <c r="A102" s="24">
        <v>101</v>
      </c>
      <c r="B102" s="26">
        <v>11</v>
      </c>
      <c r="C102" s="26">
        <v>1101</v>
      </c>
      <c r="D102" s="26">
        <v>1101040</v>
      </c>
      <c r="E102" s="26">
        <v>1101040001</v>
      </c>
      <c r="F102" s="25">
        <v>476</v>
      </c>
      <c r="G102" s="24">
        <f t="shared" ca="1" si="6"/>
        <v>95</v>
      </c>
      <c r="I102" s="24">
        <f t="shared" si="7"/>
        <v>11</v>
      </c>
      <c r="J102" s="24" t="str">
        <f>VLOOKUP(I102,[1]PROVID!$A$2:$B$2,2,FALSE)</f>
        <v>ACEH</v>
      </c>
      <c r="Q102" s="25"/>
    </row>
    <row r="103" spans="1:17" x14ac:dyDescent="0.25">
      <c r="A103" s="24">
        <v>102</v>
      </c>
      <c r="B103" s="26">
        <v>11</v>
      </c>
      <c r="C103" s="26">
        <v>1101</v>
      </c>
      <c r="D103" s="26">
        <v>1101040</v>
      </c>
      <c r="E103" s="26">
        <v>1101040002</v>
      </c>
      <c r="F103" s="25">
        <v>667</v>
      </c>
      <c r="G103" s="24">
        <f t="shared" ca="1" si="6"/>
        <v>75</v>
      </c>
      <c r="I103" s="24">
        <f t="shared" si="7"/>
        <v>11</v>
      </c>
      <c r="J103" s="24" t="str">
        <f>VLOOKUP(I103,[1]PROVID!$A$2:$B$2,2,FALSE)</f>
        <v>ACEH</v>
      </c>
      <c r="Q103" s="25"/>
    </row>
    <row r="104" spans="1:17" x14ac:dyDescent="0.25">
      <c r="A104" s="24">
        <v>103</v>
      </c>
      <c r="B104" s="26">
        <v>11</v>
      </c>
      <c r="C104" s="26">
        <v>1101</v>
      </c>
      <c r="D104" s="26">
        <v>1101040</v>
      </c>
      <c r="E104" s="26">
        <v>1101040003</v>
      </c>
      <c r="F104" s="25">
        <v>813</v>
      </c>
      <c r="G104" s="24">
        <f t="shared" ca="1" si="6"/>
        <v>34</v>
      </c>
      <c r="I104" s="24">
        <f t="shared" si="7"/>
        <v>11</v>
      </c>
      <c r="J104" s="24" t="str">
        <f>VLOOKUP(I104,[1]PROVID!$A$2:$B$2,2,FALSE)</f>
        <v>ACEH</v>
      </c>
      <c r="Q104" s="25"/>
    </row>
    <row r="105" spans="1:17" x14ac:dyDescent="0.25">
      <c r="A105" s="24">
        <v>104</v>
      </c>
      <c r="B105" s="26">
        <v>11</v>
      </c>
      <c r="C105" s="26">
        <v>1101</v>
      </c>
      <c r="D105" s="26">
        <v>1101040</v>
      </c>
      <c r="E105" s="26">
        <v>1101040004</v>
      </c>
      <c r="F105" s="25">
        <v>933</v>
      </c>
      <c r="G105" s="24">
        <f t="shared" ca="1" si="6"/>
        <v>100</v>
      </c>
      <c r="I105" s="24">
        <f t="shared" si="7"/>
        <v>11</v>
      </c>
      <c r="J105" s="24" t="str">
        <f>VLOOKUP(I105,[1]PROVID!$A$2:$B$2,2,FALSE)</f>
        <v>ACEH</v>
      </c>
      <c r="Q105" s="25"/>
    </row>
    <row r="106" spans="1:17" x14ac:dyDescent="0.25">
      <c r="A106" s="24">
        <v>105</v>
      </c>
      <c r="B106" s="26">
        <v>11</v>
      </c>
      <c r="C106" s="26">
        <v>1101</v>
      </c>
      <c r="D106" s="26">
        <v>1101040</v>
      </c>
      <c r="E106" s="26">
        <v>1101040005</v>
      </c>
      <c r="F106" s="25">
        <v>425</v>
      </c>
      <c r="G106" s="24">
        <f t="shared" ca="1" si="6"/>
        <v>93</v>
      </c>
      <c r="I106" s="24">
        <f t="shared" si="7"/>
        <v>11</v>
      </c>
      <c r="J106" s="24" t="str">
        <f>VLOOKUP(I106,[1]PROVID!$A$2:$B$2,2,FALSE)</f>
        <v>ACEH</v>
      </c>
      <c r="Q106" s="25"/>
    </row>
    <row r="107" spans="1:17" x14ac:dyDescent="0.25">
      <c r="A107" s="24">
        <v>106</v>
      </c>
      <c r="B107" s="26">
        <v>11</v>
      </c>
      <c r="C107" s="26">
        <v>1101</v>
      </c>
      <c r="D107" s="26">
        <v>1101040</v>
      </c>
      <c r="E107" s="26">
        <v>1101040006</v>
      </c>
      <c r="F107" s="25">
        <v>359</v>
      </c>
      <c r="G107" s="24">
        <f t="shared" ca="1" si="6"/>
        <v>64</v>
      </c>
      <c r="I107" s="24">
        <f t="shared" si="7"/>
        <v>11</v>
      </c>
      <c r="J107" s="24" t="str">
        <f>VLOOKUP(I107,[1]PROVID!$A$2:$B$2,2,FALSE)</f>
        <v>ACEH</v>
      </c>
      <c r="Q107" s="25"/>
    </row>
    <row r="108" spans="1:17" x14ac:dyDescent="0.25">
      <c r="A108" s="24">
        <v>107</v>
      </c>
      <c r="B108" s="26">
        <v>11</v>
      </c>
      <c r="C108" s="26">
        <v>1101</v>
      </c>
      <c r="D108" s="26">
        <v>1101040</v>
      </c>
      <c r="E108" s="26">
        <v>1101040007</v>
      </c>
      <c r="F108" s="25">
        <v>458</v>
      </c>
      <c r="G108" s="24">
        <f t="shared" ca="1" si="6"/>
        <v>30</v>
      </c>
      <c r="I108" s="24">
        <f t="shared" si="7"/>
        <v>11</v>
      </c>
      <c r="J108" s="24" t="str">
        <f>VLOOKUP(I108,[1]PROVID!$A$2:$B$2,2,FALSE)</f>
        <v>ACEH</v>
      </c>
      <c r="Q108" s="25"/>
    </row>
    <row r="109" spans="1:17" x14ac:dyDescent="0.25">
      <c r="A109" s="24">
        <v>108</v>
      </c>
      <c r="B109" s="26">
        <v>11</v>
      </c>
      <c r="C109" s="26">
        <v>1101</v>
      </c>
      <c r="D109" s="26">
        <v>1101040</v>
      </c>
      <c r="E109" s="26">
        <v>1101040008</v>
      </c>
      <c r="F109" s="25">
        <v>454</v>
      </c>
      <c r="G109" s="24">
        <f t="shared" ca="1" si="6"/>
        <v>84</v>
      </c>
      <c r="I109" s="24">
        <f t="shared" si="7"/>
        <v>11</v>
      </c>
      <c r="J109" s="24" t="str">
        <f>VLOOKUP(I109,[1]PROVID!$A$2:$B$2,2,FALSE)</f>
        <v>ACEH</v>
      </c>
      <c r="Q109" s="25"/>
    </row>
    <row r="110" spans="1:17" x14ac:dyDescent="0.25">
      <c r="A110" s="24">
        <v>109</v>
      </c>
      <c r="B110" s="26">
        <v>11</v>
      </c>
      <c r="C110" s="26">
        <v>1101</v>
      </c>
      <c r="D110" s="26">
        <v>1101040</v>
      </c>
      <c r="E110" s="26">
        <v>1101040009</v>
      </c>
      <c r="F110" s="25">
        <v>420</v>
      </c>
      <c r="G110" s="24">
        <f t="shared" ca="1" si="6"/>
        <v>21</v>
      </c>
      <c r="I110" s="24">
        <f t="shared" si="7"/>
        <v>11</v>
      </c>
      <c r="J110" s="24" t="str">
        <f>VLOOKUP(I110,[1]PROVID!$A$2:$B$2,2,FALSE)</f>
        <v>ACEH</v>
      </c>
      <c r="Q110" s="25"/>
    </row>
    <row r="111" spans="1:17" x14ac:dyDescent="0.25">
      <c r="A111" s="24">
        <v>110</v>
      </c>
      <c r="B111" s="26">
        <v>11</v>
      </c>
      <c r="C111" s="26">
        <v>1101</v>
      </c>
      <c r="D111" s="26">
        <v>1101040</v>
      </c>
      <c r="E111" s="26">
        <v>1101040010</v>
      </c>
      <c r="F111" s="25">
        <v>451</v>
      </c>
      <c r="G111" s="24">
        <f t="shared" ca="1" si="6"/>
        <v>97</v>
      </c>
      <c r="I111" s="24">
        <f t="shared" si="7"/>
        <v>11</v>
      </c>
      <c r="J111" s="24" t="str">
        <f>VLOOKUP(I111,[1]PROVID!$A$2:$B$2,2,FALSE)</f>
        <v>ACEH</v>
      </c>
      <c r="Q111" s="25"/>
    </row>
    <row r="112" spans="1:17" x14ac:dyDescent="0.25">
      <c r="A112" s="24">
        <v>111</v>
      </c>
      <c r="B112" s="26">
        <v>11</v>
      </c>
      <c r="C112" s="26">
        <v>1101</v>
      </c>
      <c r="D112" s="26">
        <v>1101040</v>
      </c>
      <c r="E112" s="26">
        <v>1101040011</v>
      </c>
      <c r="F112" s="25">
        <v>540</v>
      </c>
      <c r="G112" s="24">
        <f t="shared" ca="1" si="6"/>
        <v>103</v>
      </c>
      <c r="I112" s="24">
        <f t="shared" si="7"/>
        <v>11</v>
      </c>
      <c r="J112" s="24" t="str">
        <f>VLOOKUP(I112,[1]PROVID!$A$2:$B$2,2,FALSE)</f>
        <v>ACEH</v>
      </c>
      <c r="Q112" s="25"/>
    </row>
    <row r="113" spans="1:17" x14ac:dyDescent="0.25">
      <c r="A113" s="24">
        <v>112</v>
      </c>
      <c r="B113" s="26">
        <v>11</v>
      </c>
      <c r="C113" s="26">
        <v>1101</v>
      </c>
      <c r="D113" s="26">
        <v>1101040</v>
      </c>
      <c r="E113" s="26">
        <v>1101040012</v>
      </c>
      <c r="F113" s="25">
        <v>265</v>
      </c>
      <c r="G113" s="24">
        <f t="shared" ca="1" si="6"/>
        <v>70</v>
      </c>
      <c r="I113" s="24">
        <f t="shared" si="7"/>
        <v>11</v>
      </c>
      <c r="J113" s="24" t="str">
        <f>VLOOKUP(I113,[1]PROVID!$A$2:$B$2,2,FALSE)</f>
        <v>ACEH</v>
      </c>
      <c r="Q113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workbookViewId="0">
      <selection activeCell="A2" sqref="A2"/>
    </sheetView>
  </sheetViews>
  <sheetFormatPr defaultRowHeight="15" x14ac:dyDescent="0.25"/>
  <cols>
    <col min="1" max="1" width="20.85546875" style="24" bestFit="1" customWidth="1"/>
    <col min="2" max="2" width="10.28515625" style="24" bestFit="1" customWidth="1"/>
    <col min="3" max="16384" width="9.140625" style="24"/>
  </cols>
  <sheetData>
    <row r="1" spans="1:2" ht="15.75" x14ac:dyDescent="0.25">
      <c r="A1" s="23" t="s">
        <v>128</v>
      </c>
      <c r="B1" s="23" t="s">
        <v>318</v>
      </c>
    </row>
    <row r="2" spans="1:2" x14ac:dyDescent="0.25">
      <c r="A2" s="25">
        <v>270</v>
      </c>
      <c r="B2" s="24">
        <v>102</v>
      </c>
    </row>
    <row r="3" spans="1:2" x14ac:dyDescent="0.25">
      <c r="A3" s="25">
        <v>398</v>
      </c>
      <c r="B3" s="24">
        <v>50</v>
      </c>
    </row>
    <row r="4" spans="1:2" x14ac:dyDescent="0.25">
      <c r="A4" s="25">
        <v>465</v>
      </c>
      <c r="B4" s="24">
        <v>87</v>
      </c>
    </row>
    <row r="5" spans="1:2" x14ac:dyDescent="0.25">
      <c r="A5" s="25">
        <v>515</v>
      </c>
      <c r="B5" s="24">
        <v>39</v>
      </c>
    </row>
    <row r="6" spans="1:2" x14ac:dyDescent="0.25">
      <c r="A6" s="25">
        <v>340</v>
      </c>
      <c r="B6" s="24">
        <v>34</v>
      </c>
    </row>
    <row r="7" spans="1:2" x14ac:dyDescent="0.25">
      <c r="A7" s="25">
        <v>378</v>
      </c>
      <c r="B7" s="24">
        <v>106</v>
      </c>
    </row>
    <row r="8" spans="1:2" x14ac:dyDescent="0.25">
      <c r="A8" s="25">
        <v>289</v>
      </c>
      <c r="B8" s="24">
        <v>98</v>
      </c>
    </row>
    <row r="9" spans="1:2" x14ac:dyDescent="0.25">
      <c r="A9" s="25">
        <v>398</v>
      </c>
      <c r="B9" s="24">
        <v>96</v>
      </c>
    </row>
    <row r="10" spans="1:2" x14ac:dyDescent="0.25">
      <c r="A10" s="25">
        <v>310</v>
      </c>
      <c r="B10" s="24">
        <v>98</v>
      </c>
    </row>
    <row r="11" spans="1:2" x14ac:dyDescent="0.25">
      <c r="A11" s="25">
        <v>396</v>
      </c>
      <c r="B11" s="24">
        <v>88</v>
      </c>
    </row>
    <row r="12" spans="1:2" x14ac:dyDescent="0.25">
      <c r="A12" s="25">
        <v>568</v>
      </c>
      <c r="B12" s="24">
        <v>45</v>
      </c>
    </row>
    <row r="13" spans="1:2" x14ac:dyDescent="0.25">
      <c r="A13" s="25">
        <v>1127</v>
      </c>
      <c r="B13" s="24">
        <v>40</v>
      </c>
    </row>
    <row r="14" spans="1:2" x14ac:dyDescent="0.25">
      <c r="A14" s="25">
        <v>359</v>
      </c>
      <c r="B14" s="24">
        <v>26</v>
      </c>
    </row>
    <row r="15" spans="1:2" x14ac:dyDescent="0.25">
      <c r="A15" s="25">
        <v>627</v>
      </c>
      <c r="B15" s="24">
        <v>93</v>
      </c>
    </row>
    <row r="16" spans="1:2" x14ac:dyDescent="0.25">
      <c r="A16" s="25">
        <v>490</v>
      </c>
      <c r="B16" s="24">
        <v>21</v>
      </c>
    </row>
    <row r="17" spans="1:2" x14ac:dyDescent="0.25">
      <c r="A17" s="25">
        <v>594</v>
      </c>
      <c r="B17" s="24">
        <v>18</v>
      </c>
    </row>
    <row r="18" spans="1:2" x14ac:dyDescent="0.25">
      <c r="A18" s="25">
        <v>218</v>
      </c>
      <c r="B18" s="24">
        <v>36</v>
      </c>
    </row>
    <row r="19" spans="1:2" x14ac:dyDescent="0.25">
      <c r="A19" s="25">
        <v>377</v>
      </c>
      <c r="B19" s="24">
        <v>79</v>
      </c>
    </row>
    <row r="20" spans="1:2" x14ac:dyDescent="0.25">
      <c r="A20" s="25">
        <v>303</v>
      </c>
      <c r="B20" s="24">
        <v>108</v>
      </c>
    </row>
    <row r="21" spans="1:2" x14ac:dyDescent="0.25">
      <c r="A21" s="25">
        <v>499</v>
      </c>
      <c r="B21" s="24">
        <v>80</v>
      </c>
    </row>
    <row r="22" spans="1:2" x14ac:dyDescent="0.25">
      <c r="A22" s="25">
        <v>899</v>
      </c>
      <c r="B22" s="24">
        <v>96</v>
      </c>
    </row>
    <row r="23" spans="1:2" x14ac:dyDescent="0.25">
      <c r="A23" s="25">
        <v>400</v>
      </c>
      <c r="B23" s="24">
        <v>108</v>
      </c>
    </row>
    <row r="24" spans="1:2" x14ac:dyDescent="0.25">
      <c r="A24" s="25">
        <v>334</v>
      </c>
      <c r="B24" s="24">
        <v>41</v>
      </c>
    </row>
    <row r="25" spans="1:2" x14ac:dyDescent="0.25">
      <c r="A25" s="25">
        <v>324</v>
      </c>
      <c r="B25" s="24">
        <v>22</v>
      </c>
    </row>
    <row r="26" spans="1:2" x14ac:dyDescent="0.25">
      <c r="A26" s="25">
        <v>275</v>
      </c>
      <c r="B26" s="24">
        <v>72</v>
      </c>
    </row>
    <row r="27" spans="1:2" x14ac:dyDescent="0.25">
      <c r="A27" s="25">
        <v>452</v>
      </c>
      <c r="B27" s="24">
        <v>80</v>
      </c>
    </row>
    <row r="28" spans="1:2" x14ac:dyDescent="0.25">
      <c r="A28" s="25">
        <v>655</v>
      </c>
      <c r="B28" s="24">
        <v>76</v>
      </c>
    </row>
    <row r="29" spans="1:2" x14ac:dyDescent="0.25">
      <c r="A29" s="25">
        <v>609</v>
      </c>
      <c r="B29" s="24">
        <v>4</v>
      </c>
    </row>
    <row r="30" spans="1:2" x14ac:dyDescent="0.25">
      <c r="A30" s="25">
        <v>225</v>
      </c>
      <c r="B30" s="24">
        <v>76</v>
      </c>
    </row>
    <row r="31" spans="1:2" x14ac:dyDescent="0.25">
      <c r="A31" s="25">
        <v>1089</v>
      </c>
      <c r="B31" s="24">
        <v>45</v>
      </c>
    </row>
    <row r="32" spans="1:2" x14ac:dyDescent="0.25">
      <c r="A32" s="25">
        <v>1104</v>
      </c>
    </row>
    <row r="33" spans="1:1" x14ac:dyDescent="0.25">
      <c r="A33" s="25">
        <v>1151</v>
      </c>
    </row>
    <row r="34" spans="1:1" x14ac:dyDescent="0.25">
      <c r="A34" s="25">
        <v>636</v>
      </c>
    </row>
    <row r="35" spans="1:1" x14ac:dyDescent="0.25">
      <c r="A35" s="25">
        <v>781</v>
      </c>
    </row>
    <row r="36" spans="1:1" x14ac:dyDescent="0.25">
      <c r="A36" s="25">
        <v>1704</v>
      </c>
    </row>
    <row r="37" spans="1:1" x14ac:dyDescent="0.25">
      <c r="A37" s="25">
        <v>2415</v>
      </c>
    </row>
    <row r="38" spans="1:1" x14ac:dyDescent="0.25">
      <c r="A38" s="25">
        <v>4466</v>
      </c>
    </row>
    <row r="39" spans="1:1" x14ac:dyDescent="0.25">
      <c r="A39" s="25">
        <v>2536</v>
      </c>
    </row>
    <row r="40" spans="1:1" x14ac:dyDescent="0.25">
      <c r="A40" s="25">
        <v>2728</v>
      </c>
    </row>
    <row r="41" spans="1:1" x14ac:dyDescent="0.25">
      <c r="A41" s="25">
        <v>1080</v>
      </c>
    </row>
    <row r="42" spans="1:1" x14ac:dyDescent="0.25">
      <c r="A42" s="25">
        <v>587</v>
      </c>
    </row>
    <row r="43" spans="1:1" x14ac:dyDescent="0.25">
      <c r="A43" s="25">
        <v>533</v>
      </c>
    </row>
    <row r="44" spans="1:1" x14ac:dyDescent="0.25">
      <c r="A44" s="25">
        <v>1184</v>
      </c>
    </row>
    <row r="45" spans="1:1" x14ac:dyDescent="0.25">
      <c r="A45" s="25">
        <v>388</v>
      </c>
    </row>
    <row r="46" spans="1:1" x14ac:dyDescent="0.25">
      <c r="A46" s="25">
        <v>310</v>
      </c>
    </row>
    <row r="47" spans="1:1" x14ac:dyDescent="0.25">
      <c r="A47" s="25">
        <v>454</v>
      </c>
    </row>
    <row r="48" spans="1:1" x14ac:dyDescent="0.25">
      <c r="A48" s="25">
        <v>518</v>
      </c>
    </row>
    <row r="49" spans="1:1" x14ac:dyDescent="0.25">
      <c r="A49" s="25">
        <v>595</v>
      </c>
    </row>
    <row r="50" spans="1:1" x14ac:dyDescent="0.25">
      <c r="A50" s="25">
        <v>273</v>
      </c>
    </row>
    <row r="51" spans="1:1" x14ac:dyDescent="0.25">
      <c r="A51" s="25">
        <v>831</v>
      </c>
    </row>
    <row r="52" spans="1:1" x14ac:dyDescent="0.25">
      <c r="A52" s="25">
        <v>383</v>
      </c>
    </row>
    <row r="53" spans="1:1" x14ac:dyDescent="0.25">
      <c r="A53" s="25">
        <v>521</v>
      </c>
    </row>
    <row r="54" spans="1:1" x14ac:dyDescent="0.25">
      <c r="A54" s="25">
        <v>456</v>
      </c>
    </row>
    <row r="55" spans="1:1" x14ac:dyDescent="0.25">
      <c r="A55" s="25">
        <v>318</v>
      </c>
    </row>
    <row r="56" spans="1:1" x14ac:dyDescent="0.25">
      <c r="A56" s="25">
        <v>689</v>
      </c>
    </row>
    <row r="57" spans="1:1" x14ac:dyDescent="0.25">
      <c r="A57" s="25">
        <v>231</v>
      </c>
    </row>
    <row r="58" spans="1:1" x14ac:dyDescent="0.25">
      <c r="A58" s="25">
        <v>519</v>
      </c>
    </row>
    <row r="59" spans="1:1" x14ac:dyDescent="0.25">
      <c r="A59" s="25">
        <v>169</v>
      </c>
    </row>
    <row r="60" spans="1:1" x14ac:dyDescent="0.25">
      <c r="A60" s="25">
        <v>526</v>
      </c>
    </row>
    <row r="61" spans="1:1" x14ac:dyDescent="0.25">
      <c r="A61" s="25">
        <v>497</v>
      </c>
    </row>
    <row r="62" spans="1:1" x14ac:dyDescent="0.25">
      <c r="A62" s="25">
        <v>272</v>
      </c>
    </row>
    <row r="63" spans="1:1" x14ac:dyDescent="0.25">
      <c r="A63" s="25">
        <v>225</v>
      </c>
    </row>
    <row r="64" spans="1:1" x14ac:dyDescent="0.25">
      <c r="A64" s="25">
        <v>423</v>
      </c>
    </row>
    <row r="65" spans="1:1" x14ac:dyDescent="0.25">
      <c r="A65" s="25">
        <v>287</v>
      </c>
    </row>
    <row r="66" spans="1:1" x14ac:dyDescent="0.25">
      <c r="A66" s="25">
        <v>395</v>
      </c>
    </row>
    <row r="67" spans="1:1" x14ac:dyDescent="0.25">
      <c r="A67" s="25">
        <v>254</v>
      </c>
    </row>
    <row r="68" spans="1:1" x14ac:dyDescent="0.25">
      <c r="A68" s="25">
        <v>332</v>
      </c>
    </row>
    <row r="69" spans="1:1" x14ac:dyDescent="0.25">
      <c r="A69" s="25">
        <v>635</v>
      </c>
    </row>
    <row r="70" spans="1:1" x14ac:dyDescent="0.25">
      <c r="A70" s="25">
        <v>517</v>
      </c>
    </row>
    <row r="71" spans="1:1" x14ac:dyDescent="0.25">
      <c r="A71" s="25">
        <v>335</v>
      </c>
    </row>
    <row r="72" spans="1:1" x14ac:dyDescent="0.25">
      <c r="A72" s="25">
        <v>1639</v>
      </c>
    </row>
    <row r="73" spans="1:1" x14ac:dyDescent="0.25">
      <c r="A73" s="25">
        <v>138</v>
      </c>
    </row>
    <row r="74" spans="1:1" x14ac:dyDescent="0.25">
      <c r="A74" s="25">
        <v>146</v>
      </c>
    </row>
    <row r="75" spans="1:1" x14ac:dyDescent="0.25">
      <c r="A75" s="25">
        <v>145</v>
      </c>
    </row>
    <row r="76" spans="1:1" x14ac:dyDescent="0.25">
      <c r="A76" s="25">
        <v>297</v>
      </c>
    </row>
    <row r="77" spans="1:1" x14ac:dyDescent="0.25">
      <c r="A77" s="25">
        <v>300</v>
      </c>
    </row>
    <row r="78" spans="1:1" x14ac:dyDescent="0.25">
      <c r="A78" s="25">
        <v>487</v>
      </c>
    </row>
    <row r="79" spans="1:1" x14ac:dyDescent="0.25">
      <c r="A79" s="25">
        <v>351</v>
      </c>
    </row>
    <row r="80" spans="1:1" x14ac:dyDescent="0.25">
      <c r="A80" s="25">
        <v>418</v>
      </c>
    </row>
    <row r="81" spans="1:1" x14ac:dyDescent="0.25">
      <c r="A81" s="25">
        <v>330</v>
      </c>
    </row>
    <row r="82" spans="1:1" x14ac:dyDescent="0.25">
      <c r="A82" s="25">
        <v>408</v>
      </c>
    </row>
    <row r="83" spans="1:1" x14ac:dyDescent="0.25">
      <c r="A83" s="25">
        <v>321</v>
      </c>
    </row>
    <row r="84" spans="1:1" x14ac:dyDescent="0.25">
      <c r="A84" s="25">
        <v>274</v>
      </c>
    </row>
    <row r="85" spans="1:1" x14ac:dyDescent="0.25">
      <c r="A85" s="25">
        <v>281</v>
      </c>
    </row>
    <row r="86" spans="1:1" x14ac:dyDescent="0.25">
      <c r="A86" s="25">
        <v>299</v>
      </c>
    </row>
    <row r="87" spans="1:1" x14ac:dyDescent="0.25">
      <c r="A87" s="25">
        <v>474</v>
      </c>
    </row>
    <row r="88" spans="1:1" x14ac:dyDescent="0.25">
      <c r="A88" s="25">
        <v>172</v>
      </c>
    </row>
    <row r="89" spans="1:1" x14ac:dyDescent="0.25">
      <c r="A89" s="25">
        <v>186</v>
      </c>
    </row>
    <row r="90" spans="1:1" x14ac:dyDescent="0.25">
      <c r="A90" s="25">
        <v>207</v>
      </c>
    </row>
    <row r="91" spans="1:1" x14ac:dyDescent="0.25">
      <c r="A91" s="25">
        <v>318</v>
      </c>
    </row>
    <row r="92" spans="1:1" x14ac:dyDescent="0.25">
      <c r="A92" s="25">
        <v>227</v>
      </c>
    </row>
    <row r="93" spans="1:1" x14ac:dyDescent="0.25">
      <c r="A93" s="25">
        <v>390</v>
      </c>
    </row>
    <row r="94" spans="1:1" x14ac:dyDescent="0.25">
      <c r="A94" s="25">
        <v>354</v>
      </c>
    </row>
    <row r="95" spans="1:1" x14ac:dyDescent="0.25">
      <c r="A95" s="25">
        <v>458</v>
      </c>
    </row>
    <row r="96" spans="1:1" x14ac:dyDescent="0.25">
      <c r="A96" s="25">
        <v>314</v>
      </c>
    </row>
    <row r="97" spans="1:1" x14ac:dyDescent="0.25">
      <c r="A97" s="25">
        <v>1070</v>
      </c>
    </row>
    <row r="98" spans="1:1" x14ac:dyDescent="0.25">
      <c r="A98" s="25">
        <v>546</v>
      </c>
    </row>
    <row r="99" spans="1:1" x14ac:dyDescent="0.25">
      <c r="A99" s="25">
        <v>589</v>
      </c>
    </row>
    <row r="100" spans="1:1" x14ac:dyDescent="0.25">
      <c r="A100" s="25">
        <v>370</v>
      </c>
    </row>
    <row r="101" spans="1:1" x14ac:dyDescent="0.25">
      <c r="A101" s="25">
        <v>596</v>
      </c>
    </row>
    <row r="102" spans="1:1" x14ac:dyDescent="0.25">
      <c r="A102" s="25">
        <v>476</v>
      </c>
    </row>
    <row r="103" spans="1:1" x14ac:dyDescent="0.25">
      <c r="A103" s="25">
        <v>667</v>
      </c>
    </row>
    <row r="104" spans="1:1" x14ac:dyDescent="0.25">
      <c r="A104" s="25">
        <v>813</v>
      </c>
    </row>
    <row r="105" spans="1:1" x14ac:dyDescent="0.25">
      <c r="A105" s="25">
        <v>933</v>
      </c>
    </row>
    <row r="106" spans="1:1" x14ac:dyDescent="0.25">
      <c r="A106" s="25">
        <v>425</v>
      </c>
    </row>
    <row r="107" spans="1:1" x14ac:dyDescent="0.25">
      <c r="A107" s="25">
        <v>359</v>
      </c>
    </row>
    <row r="108" spans="1:1" x14ac:dyDescent="0.25">
      <c r="A108" s="25">
        <v>458</v>
      </c>
    </row>
    <row r="109" spans="1:1" x14ac:dyDescent="0.25">
      <c r="A109" s="25">
        <v>454</v>
      </c>
    </row>
    <row r="110" spans="1:1" x14ac:dyDescent="0.25">
      <c r="A110" s="25">
        <v>420</v>
      </c>
    </row>
    <row r="111" spans="1:1" x14ac:dyDescent="0.25">
      <c r="A111" s="25">
        <v>451</v>
      </c>
    </row>
    <row r="112" spans="1:1" x14ac:dyDescent="0.25">
      <c r="A112" s="25">
        <v>540</v>
      </c>
    </row>
    <row r="113" spans="1:1" x14ac:dyDescent="0.25">
      <c r="A113" s="25">
        <v>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B12" sqref="B12:E17"/>
    </sheetView>
  </sheetViews>
  <sheetFormatPr defaultRowHeight="15" x14ac:dyDescent="0.25"/>
  <cols>
    <col min="1" max="1" width="11.42578125" bestFit="1" customWidth="1"/>
    <col min="2" max="2" width="12.5703125" bestFit="1" customWidth="1"/>
    <col min="3" max="3" width="12" bestFit="1" customWidth="1"/>
    <col min="6" max="6" width="2.42578125" customWidth="1"/>
  </cols>
  <sheetData>
    <row r="1" spans="1:8" x14ac:dyDescent="0.25">
      <c r="A1" s="17" t="s">
        <v>294</v>
      </c>
      <c r="B1" s="17" t="s">
        <v>295</v>
      </c>
      <c r="C1" s="17" t="s">
        <v>296</v>
      </c>
    </row>
    <row r="2" spans="1:8" x14ac:dyDescent="0.25">
      <c r="A2" s="8" t="s">
        <v>297</v>
      </c>
      <c r="B2">
        <f>COUNT(STATISTIK!A2:A113)</f>
        <v>112</v>
      </c>
      <c r="C2">
        <f>COUNT(STATISTIK!B2:B113)</f>
        <v>30</v>
      </c>
      <c r="E2" t="s">
        <v>309</v>
      </c>
      <c r="F2" t="s">
        <v>273</v>
      </c>
      <c r="G2" t="s">
        <v>310</v>
      </c>
      <c r="H2" t="s">
        <v>320</v>
      </c>
    </row>
    <row r="3" spans="1:8" x14ac:dyDescent="0.25">
      <c r="A3" s="8" t="s">
        <v>298</v>
      </c>
      <c r="B3" s="27">
        <f>AVERAGE(STATISTIK!A2:A113)</f>
        <v>578.63392857142856</v>
      </c>
      <c r="C3" s="27">
        <f>AVERAGE(STATISTIK!B2:B31)</f>
        <v>65.466666666666669</v>
      </c>
      <c r="G3" t="s">
        <v>311</v>
      </c>
      <c r="H3" t="s">
        <v>321</v>
      </c>
    </row>
    <row r="4" spans="1:8" x14ac:dyDescent="0.25">
      <c r="A4" s="8" t="s">
        <v>299</v>
      </c>
      <c r="B4">
        <f>STDEV(STATISTIK!A2:A113)</f>
        <v>573.72305519623887</v>
      </c>
      <c r="C4">
        <f>STDEV(STATISTIK!B2:B113)</f>
        <v>31.90258159841736</v>
      </c>
    </row>
    <row r="5" spans="1:8" x14ac:dyDescent="0.25">
      <c r="A5" s="8" t="s">
        <v>300</v>
      </c>
      <c r="B5">
        <f>B4/SQRT(B2)</f>
        <v>54.211733052622549</v>
      </c>
      <c r="C5">
        <f>C4/SQRT(C2)</f>
        <v>5.8245878613674691</v>
      </c>
      <c r="E5" t="s">
        <v>303</v>
      </c>
    </row>
    <row r="6" spans="1:8" x14ac:dyDescent="0.25">
      <c r="A6" s="8" t="s">
        <v>301</v>
      </c>
      <c r="B6">
        <f>ABS(B3-C3)/B5</f>
        <v>9.4659814953091015</v>
      </c>
      <c r="C6">
        <f>ABS(B3-C3)/C5</f>
        <v>88.103617649658545</v>
      </c>
      <c r="E6" s="18" t="s">
        <v>300</v>
      </c>
      <c r="F6" t="s">
        <v>304</v>
      </c>
    </row>
    <row r="7" spans="1:8" x14ac:dyDescent="0.25">
      <c r="A7" s="8" t="s">
        <v>302</v>
      </c>
      <c r="C7">
        <f>TINV(0.05,29)</f>
        <v>2.0452296421327048</v>
      </c>
      <c r="E7" s="18"/>
    </row>
    <row r="8" spans="1:8" x14ac:dyDescent="0.25">
      <c r="E8" s="18"/>
    </row>
    <row r="9" spans="1:8" ht="15.75" customHeight="1" x14ac:dyDescent="0.25">
      <c r="E9" s="18" t="s">
        <v>301</v>
      </c>
      <c r="F9" s="19" t="s">
        <v>304</v>
      </c>
    </row>
    <row r="12" spans="1:8" x14ac:dyDescent="0.25">
      <c r="A12" t="s">
        <v>312</v>
      </c>
      <c r="B12" s="28" t="s">
        <v>322</v>
      </c>
      <c r="C12" s="28"/>
      <c r="D12" s="28"/>
      <c r="E12" s="28"/>
    </row>
    <row r="13" spans="1:8" x14ac:dyDescent="0.25">
      <c r="B13" s="28"/>
      <c r="C13" s="28"/>
      <c r="D13" s="28"/>
      <c r="E13" s="28"/>
    </row>
    <row r="14" spans="1:8" x14ac:dyDescent="0.25">
      <c r="B14" s="28"/>
      <c r="C14" s="28"/>
      <c r="D14" s="28"/>
      <c r="E14" s="28"/>
    </row>
    <row r="15" spans="1:8" x14ac:dyDescent="0.25">
      <c r="B15" s="28"/>
      <c r="C15" s="28"/>
      <c r="D15" s="28"/>
      <c r="E15" s="28"/>
    </row>
    <row r="16" spans="1:8" x14ac:dyDescent="0.25">
      <c r="B16" s="28"/>
      <c r="C16" s="28"/>
      <c r="D16" s="28"/>
      <c r="E16" s="28"/>
    </row>
    <row r="17" spans="2:5" x14ac:dyDescent="0.25">
      <c r="B17" s="28"/>
      <c r="C17" s="28"/>
      <c r="D17" s="28"/>
      <c r="E17" s="28"/>
    </row>
  </sheetData>
  <mergeCells count="1">
    <mergeCell ref="B12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JUDUL</vt:lpstr>
      <vt:lpstr>VARIABEL</vt:lpstr>
      <vt:lpstr>RUMUS</vt:lpstr>
      <vt:lpstr>NO RUMUS</vt:lpstr>
      <vt:lpstr>PROVID</vt:lpstr>
      <vt:lpstr>KABID</vt:lpstr>
      <vt:lpstr>CAMID</vt:lpstr>
      <vt:lpstr>DESAID</vt:lpstr>
      <vt:lpstr>DATA</vt:lpstr>
      <vt:lpstr>SAMPLING</vt:lpstr>
      <vt:lpstr>STATISTIK</vt:lpstr>
      <vt:lpstr>Jumlah Penduduk_Uji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 Nur hidayah</dc:creator>
  <cp:lastModifiedBy>lenovo</cp:lastModifiedBy>
  <dcterms:created xsi:type="dcterms:W3CDTF">2020-10-20T13:26:14Z</dcterms:created>
  <dcterms:modified xsi:type="dcterms:W3CDTF">2021-04-24T04:10:16Z</dcterms:modified>
</cp:coreProperties>
</file>