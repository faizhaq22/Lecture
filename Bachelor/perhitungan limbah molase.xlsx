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Data Kuliah\Semester 5 2019\0. Rancangan Percobaan Penelitian Perikanan\"/>
    </mc:Choice>
  </mc:AlternateContent>
  <xr:revisionPtr revIDLastSave="0" documentId="13_ncr:1_{2EFADC9B-9454-4D26-9C8F-7B38A4350652}" xr6:coauthVersionLast="45" xr6:coauthVersionMax="45" xr10:uidLastSave="{00000000-0000-0000-0000-000000000000}"/>
  <bookViews>
    <workbookView xWindow="-120" yWindow="-120" windowWidth="20730" windowHeight="11160" xr2:uid="{F624655E-03F8-4092-90DC-6E48750FFA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" i="1" l="1"/>
  <c r="I12" i="1"/>
  <c r="O8" i="1"/>
  <c r="I13" i="1"/>
  <c r="J13" i="1" s="1"/>
  <c r="I11" i="1"/>
  <c r="H9" i="1"/>
  <c r="I15" i="1"/>
  <c r="I14" i="1"/>
  <c r="I16" i="1" l="1"/>
  <c r="E21" i="1"/>
  <c r="E20" i="1"/>
  <c r="E19" i="1"/>
  <c r="D22" i="1"/>
  <c r="J14" i="1"/>
  <c r="D14" i="1"/>
  <c r="D13" i="1"/>
  <c r="C15" i="1"/>
  <c r="B15" i="1"/>
  <c r="K8" i="1"/>
  <c r="K7" i="1"/>
  <c r="L7" i="1"/>
  <c r="M7" i="1"/>
  <c r="K6" i="1"/>
  <c r="L6" i="1"/>
  <c r="K5" i="1"/>
  <c r="L5" i="1"/>
  <c r="M5" i="1"/>
  <c r="K4" i="1"/>
  <c r="L4" i="1"/>
  <c r="L8" i="1" s="1"/>
  <c r="J5" i="1"/>
  <c r="N5" i="1" s="1"/>
  <c r="J6" i="1"/>
  <c r="N6" i="1" s="1"/>
  <c r="J7" i="1"/>
  <c r="N7" i="1" s="1"/>
  <c r="J4" i="1"/>
  <c r="N4" i="1" s="1"/>
  <c r="E8" i="1"/>
  <c r="F8" i="1"/>
  <c r="D8" i="1"/>
  <c r="C8" i="1" s="1"/>
  <c r="G5" i="1"/>
  <c r="G6" i="1"/>
  <c r="M6" i="1" s="1"/>
  <c r="G7" i="1"/>
  <c r="G4" i="1"/>
  <c r="M4" i="1" s="1"/>
  <c r="M8" i="1" s="1"/>
  <c r="H8" i="1" l="1"/>
  <c r="J8" i="1"/>
  <c r="I8" i="1" s="1"/>
  <c r="I9" i="1" s="1"/>
  <c r="D15" i="1"/>
</calcChain>
</file>

<file path=xl/sharedStrings.xml><?xml version="1.0" encoding="utf-8"?>
<sst xmlns="http://schemas.openxmlformats.org/spreadsheetml/2006/main" count="32" uniqueCount="27">
  <si>
    <t>Kontrol</t>
  </si>
  <si>
    <t>Cahaya</t>
  </si>
  <si>
    <t>Konsentrasi Molase</t>
  </si>
  <si>
    <t>Ulangan</t>
  </si>
  <si>
    <t>Jumlah</t>
  </si>
  <si>
    <t>a/b</t>
  </si>
  <si>
    <t>jumlah</t>
  </si>
  <si>
    <t>kontrol</t>
  </si>
  <si>
    <t>cahaya</t>
  </si>
  <si>
    <t>SK</t>
  </si>
  <si>
    <t>DB</t>
  </si>
  <si>
    <t>JK</t>
  </si>
  <si>
    <t>KT</t>
  </si>
  <si>
    <t>Fhit</t>
  </si>
  <si>
    <t>F-tabel</t>
  </si>
  <si>
    <t>A</t>
  </si>
  <si>
    <t>B</t>
  </si>
  <si>
    <t>AxB</t>
  </si>
  <si>
    <t>Galat</t>
  </si>
  <si>
    <t>Total</t>
  </si>
  <si>
    <t>FK</t>
  </si>
  <si>
    <t>JKA</t>
  </si>
  <si>
    <t>JKB</t>
  </si>
  <si>
    <t>JKAB</t>
  </si>
  <si>
    <t>JKG</t>
  </si>
  <si>
    <t>5,32</t>
  </si>
  <si>
    <t>JKT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</si>
</sst>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18A4-46A5-4DC3-898D-4DE975D676E4}">
  <dimension ref="A2:O23"/>
  <sheetViews>
    <sheetView tabSelected="1" topLeftCell="A3" workbookViewId="0">
      <selection activeCell="F19" sqref="F19"/>
    </sheetView>
  </sheetViews>
  <sheetFormatPr defaultRowHeight="15" x14ac:dyDescent="0.25"/>
  <cols>
    <col min="5" max="5" width="12" bestFit="1" customWidth="1"/>
    <col min="9" max="9" width="10" bestFit="1" customWidth="1"/>
  </cols>
  <sheetData>
    <row r="2" spans="1:15" x14ac:dyDescent="0.25">
      <c r="B2" s="1" t="s">
        <v>2</v>
      </c>
      <c r="D2" s="1" t="s">
        <v>3</v>
      </c>
      <c r="E2" s="1"/>
      <c r="F2" s="1"/>
    </row>
    <row r="3" spans="1:15" x14ac:dyDescent="0.25">
      <c r="B3" s="1"/>
      <c r="C3" t="s">
        <v>1</v>
      </c>
      <c r="D3">
        <v>1</v>
      </c>
      <c r="E3">
        <v>2</v>
      </c>
      <c r="F3">
        <v>3</v>
      </c>
      <c r="G3" t="s">
        <v>4</v>
      </c>
    </row>
    <row r="4" spans="1:15" x14ac:dyDescent="0.25">
      <c r="B4">
        <v>0</v>
      </c>
      <c r="C4" t="s">
        <v>0</v>
      </c>
      <c r="D4">
        <v>9.8000000000000007</v>
      </c>
      <c r="E4">
        <v>11</v>
      </c>
      <c r="F4">
        <v>12.2</v>
      </c>
      <c r="G4">
        <f>(D4+E4+F4)</f>
        <v>33</v>
      </c>
      <c r="J4">
        <f>(D4^2)</f>
        <v>96.04000000000002</v>
      </c>
      <c r="K4">
        <f t="shared" ref="K4:M7" si="0">(E4^2)</f>
        <v>121</v>
      </c>
      <c r="L4">
        <f t="shared" si="0"/>
        <v>148.83999999999997</v>
      </c>
      <c r="M4">
        <f t="shared" si="0"/>
        <v>1089</v>
      </c>
      <c r="N4">
        <f>SUM(J4:M4)</f>
        <v>1454.88</v>
      </c>
    </row>
    <row r="5" spans="1:15" x14ac:dyDescent="0.25">
      <c r="B5">
        <v>0</v>
      </c>
      <c r="C5" t="s">
        <v>1</v>
      </c>
      <c r="D5">
        <v>14.5</v>
      </c>
      <c r="E5">
        <v>11.4</v>
      </c>
      <c r="F5">
        <v>11.4</v>
      </c>
      <c r="G5">
        <f t="shared" ref="G5:G7" si="1">(D5+E5+F5)</f>
        <v>37.299999999999997</v>
      </c>
      <c r="J5">
        <f t="shared" ref="J5:J7" si="2">(D5^2)</f>
        <v>210.25</v>
      </c>
      <c r="K5">
        <f t="shared" si="0"/>
        <v>129.96</v>
      </c>
      <c r="L5">
        <f t="shared" si="0"/>
        <v>129.96</v>
      </c>
      <c r="M5">
        <f t="shared" si="0"/>
        <v>1391.2899999999997</v>
      </c>
      <c r="N5">
        <f t="shared" ref="N5:N7" si="3">SUM(J5:M5)</f>
        <v>1861.4599999999998</v>
      </c>
    </row>
    <row r="6" spans="1:15" x14ac:dyDescent="0.25">
      <c r="B6">
        <v>1</v>
      </c>
      <c r="C6" t="s">
        <v>0</v>
      </c>
      <c r="D6">
        <v>21.4</v>
      </c>
      <c r="E6">
        <v>18.3</v>
      </c>
      <c r="F6">
        <v>16</v>
      </c>
      <c r="G6">
        <f t="shared" si="1"/>
        <v>55.7</v>
      </c>
      <c r="J6">
        <f t="shared" si="2"/>
        <v>457.95999999999992</v>
      </c>
      <c r="K6">
        <f t="shared" si="0"/>
        <v>334.89000000000004</v>
      </c>
      <c r="L6">
        <f t="shared" si="0"/>
        <v>256</v>
      </c>
      <c r="M6">
        <f t="shared" si="0"/>
        <v>3102.4900000000002</v>
      </c>
      <c r="N6">
        <f t="shared" si="3"/>
        <v>4151.34</v>
      </c>
    </row>
    <row r="7" spans="1:15" x14ac:dyDescent="0.25">
      <c r="B7">
        <v>1</v>
      </c>
      <c r="C7" t="s">
        <v>1</v>
      </c>
      <c r="D7">
        <v>23.4</v>
      </c>
      <c r="E7">
        <v>21.4</v>
      </c>
      <c r="F7">
        <v>16.8</v>
      </c>
      <c r="G7">
        <f t="shared" si="1"/>
        <v>61.599999999999994</v>
      </c>
      <c r="J7">
        <f t="shared" si="2"/>
        <v>547.55999999999995</v>
      </c>
      <c r="K7">
        <f t="shared" si="0"/>
        <v>457.95999999999992</v>
      </c>
      <c r="L7">
        <f t="shared" si="0"/>
        <v>282.24</v>
      </c>
      <c r="M7">
        <f t="shared" si="0"/>
        <v>3794.5599999999995</v>
      </c>
      <c r="N7">
        <f t="shared" si="3"/>
        <v>5082.32</v>
      </c>
    </row>
    <row r="8" spans="1:15" x14ac:dyDescent="0.25">
      <c r="C8">
        <f>SUM(D8:F8)</f>
        <v>187.6</v>
      </c>
      <c r="D8">
        <f>(D4+D5+D6+D7)</f>
        <v>69.099999999999994</v>
      </c>
      <c r="E8">
        <f t="shared" ref="E8:F8" si="4">(E4+E5+E6+E7)</f>
        <v>62.1</v>
      </c>
      <c r="F8">
        <f t="shared" si="4"/>
        <v>56.400000000000006</v>
      </c>
      <c r="H8">
        <f>SUM(G4:G7)</f>
        <v>187.6</v>
      </c>
      <c r="I8">
        <f>SUM(J8:M8)</f>
        <v>12550</v>
      </c>
      <c r="J8">
        <f>SUM(J4:J7)</f>
        <v>1311.81</v>
      </c>
      <c r="K8">
        <f t="shared" ref="K8:M8" si="5">SUM(K4:K7)</f>
        <v>1043.81</v>
      </c>
      <c r="L8">
        <f t="shared" si="5"/>
        <v>817.04</v>
      </c>
      <c r="M8">
        <f t="shared" si="5"/>
        <v>9377.34</v>
      </c>
      <c r="O8">
        <f>SUM(N4:N7)</f>
        <v>12550</v>
      </c>
    </row>
    <row r="9" spans="1:15" x14ac:dyDescent="0.25">
      <c r="H9">
        <f>(H8^2)</f>
        <v>35193.759999999995</v>
      </c>
      <c r="I9">
        <f>(I8^2)</f>
        <v>157502500</v>
      </c>
    </row>
    <row r="11" spans="1:15" x14ac:dyDescent="0.25">
      <c r="H11" t="s">
        <v>20</v>
      </c>
      <c r="I11">
        <f>(H8^2)/12</f>
        <v>2932.813333333333</v>
      </c>
    </row>
    <row r="12" spans="1:15" x14ac:dyDescent="0.25">
      <c r="A12" t="s">
        <v>5</v>
      </c>
      <c r="B12" t="s">
        <v>7</v>
      </c>
      <c r="C12" t="s">
        <v>8</v>
      </c>
      <c r="D12" t="s">
        <v>6</v>
      </c>
      <c r="H12" t="s">
        <v>26</v>
      </c>
      <c r="I12">
        <f>(O8-I11)</f>
        <v>9617.1866666666665</v>
      </c>
    </row>
    <row r="13" spans="1:15" x14ac:dyDescent="0.25">
      <c r="A13">
        <v>0</v>
      </c>
      <c r="B13">
        <v>33</v>
      </c>
      <c r="C13">
        <v>37.299999999999997</v>
      </c>
      <c r="D13">
        <f>SUM(B13:C13)</f>
        <v>70.3</v>
      </c>
      <c r="H13" t="s">
        <v>21</v>
      </c>
      <c r="I13">
        <f>SUMSQ(B15:C15)/6</f>
        <v>2941.4833333333336</v>
      </c>
      <c r="J13">
        <f>(I13-I11)</f>
        <v>8.6700000000005275</v>
      </c>
    </row>
    <row r="14" spans="1:15" x14ac:dyDescent="0.25">
      <c r="A14">
        <v>1</v>
      </c>
      <c r="B14">
        <v>55.7</v>
      </c>
      <c r="C14">
        <v>61.6</v>
      </c>
      <c r="D14">
        <f>SUM(B14:C14)</f>
        <v>117.30000000000001</v>
      </c>
      <c r="H14" t="s">
        <v>22</v>
      </c>
      <c r="I14">
        <f>SUMSQ(D13:D14)/6</f>
        <v>3116.896666666667</v>
      </c>
      <c r="J14">
        <f>(I14-I11)</f>
        <v>184.08333333333394</v>
      </c>
    </row>
    <row r="15" spans="1:15" x14ac:dyDescent="0.25">
      <c r="A15" t="s">
        <v>6</v>
      </c>
      <c r="B15">
        <f>SUM(B13:B14)</f>
        <v>88.7</v>
      </c>
      <c r="C15">
        <f>SUM(C13:C14)</f>
        <v>98.9</v>
      </c>
      <c r="D15">
        <f>SUM(D13:D14)</f>
        <v>187.60000000000002</v>
      </c>
      <c r="I15">
        <f>SUMSQ(B13:C14)</f>
        <v>9377.34</v>
      </c>
    </row>
    <row r="16" spans="1:15" x14ac:dyDescent="0.25">
      <c r="H16" t="s">
        <v>23</v>
      </c>
      <c r="I16">
        <f>(I15/3-I11-J13-J14)</f>
        <v>0.21333333333268456</v>
      </c>
    </row>
    <row r="17" spans="1:9" x14ac:dyDescent="0.25">
      <c r="H17" t="s">
        <v>24</v>
      </c>
      <c r="I17">
        <f>(I12-J13-J14-I16)</f>
        <v>9424.2199999999993</v>
      </c>
    </row>
    <row r="18" spans="1:9" x14ac:dyDescent="0.2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</row>
    <row r="19" spans="1:9" x14ac:dyDescent="0.25">
      <c r="A19" t="s">
        <v>15</v>
      </c>
      <c r="B19">
        <v>1</v>
      </c>
      <c r="C19">
        <v>8.67</v>
      </c>
      <c r="D19">
        <v>8.67</v>
      </c>
      <c r="E19">
        <f>D19/D22</f>
        <v>2.1629051783118238E-3</v>
      </c>
      <c r="F19" t="s">
        <v>25</v>
      </c>
    </row>
    <row r="20" spans="1:9" x14ac:dyDescent="0.25">
      <c r="A20" t="s">
        <v>16</v>
      </c>
      <c r="B20">
        <v>1</v>
      </c>
      <c r="C20">
        <v>184.08330000000001</v>
      </c>
      <c r="D20">
        <v>184.08330000000001</v>
      </c>
      <c r="E20">
        <f>D20/D22</f>
        <v>4.592326676017635E-2</v>
      </c>
      <c r="F20" t="s">
        <v>25</v>
      </c>
    </row>
    <row r="21" spans="1:9" x14ac:dyDescent="0.25">
      <c r="A21" t="s">
        <v>17</v>
      </c>
      <c r="B21">
        <v>1</v>
      </c>
      <c r="C21">
        <v>0.2133333</v>
      </c>
      <c r="D21">
        <v>0.2133333</v>
      </c>
      <c r="E21">
        <f>D21/D22</f>
        <v>5.3220265199117626E-5</v>
      </c>
      <c r="F21">
        <v>5.3266600000000004</v>
      </c>
    </row>
    <row r="22" spans="1:9" x14ac:dyDescent="0.25">
      <c r="A22" t="s">
        <v>18</v>
      </c>
      <c r="B22">
        <v>8</v>
      </c>
      <c r="C22">
        <v>32067.98</v>
      </c>
      <c r="D22">
        <f>(C22/B22)</f>
        <v>4008.4974999999999</v>
      </c>
    </row>
    <row r="23" spans="1:9" x14ac:dyDescent="0.25">
      <c r="A23" t="s">
        <v>19</v>
      </c>
      <c r="B23">
        <v>11</v>
      </c>
      <c r="C23">
        <v>32260.947</v>
      </c>
    </row>
  </sheetData>
  <mergeCells count="2">
    <mergeCell ref="D2:F2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2019-11-21T08:48:49Z</dcterms:created>
  <dcterms:modified xsi:type="dcterms:W3CDTF">2019-12-16T08:45:56Z</dcterms:modified>
</cp:coreProperties>
</file>